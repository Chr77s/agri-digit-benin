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2" autoFilterDateGrouping="1"/>
  </bookViews>
  <sheets>
    <sheet name="Accueil" sheetId="1" state="visible" r:id="rId1"/>
    <sheet name="Synthèse" sheetId="2" state="visible" r:id="rId2"/>
    <sheet name="Cas de test" sheetId="3" state="visible" r:id="rId3"/>
    <sheet name="Anomalies" sheetId="4" state="visible" r:id="rId4"/>
    <sheet name="Comptes de test" sheetId="5" state="visible" r:id="rId5"/>
  </sheets>
  <definedNames>
    <definedName name="_xlnm._FilterDatabase" localSheetId="2" hidden="1">'Cas de test'!$A$4:$O$138</definedName>
    <definedName name="_xlnm.Print_Titles" localSheetId="2">'Cas de test'!$4:$4</definedName>
    <definedName name="_xlnm._FilterDatabase" localSheetId="3" hidden="1">'Anomalies'!$A$4:$L$104</definedName>
    <definedName name="_xlnm.Print_Titles" localSheetId="3">'Anomalies'!$4:$4</definedName>
  </definedNames>
  <calcPr calcId="181029" fullCalcOnLoad="1"/>
</workbook>
</file>

<file path=xl/styles.xml><?xml version="1.0" encoding="utf-8"?>
<styleSheet xmlns="http://schemas.openxmlformats.org/spreadsheetml/2006/main">
  <numFmts count="3">
    <numFmt numFmtId="164" formatCode="0;\-0;&quot;–&quot;"/>
    <numFmt numFmtId="165" formatCode="yyyy-mm-dd"/>
    <numFmt numFmtId="166" formatCode="dd/mm/yyyy"/>
  </numFmts>
  <fonts count="45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b val="1"/>
      <color rgb="FF0B5D3B"/>
      <sz val="10"/>
    </font>
    <font>
      <name val="Arial"/>
      <b val="1"/>
      <color rgb="FF0B5D3B"/>
      <sz val="9"/>
    </font>
    <font>
      <name val="Arial"/>
      <b val="1"/>
      <color rgb="FF5C4500"/>
      <sz val="9"/>
    </font>
    <font>
      <name val="Arial"/>
      <b val="1"/>
      <color rgb="FFFFFFFF"/>
      <sz val="10"/>
    </font>
    <font>
      <name val="Arial"/>
      <b val="1"/>
      <color rgb="FF3D2F00"/>
      <sz val="10"/>
    </font>
    <font>
      <name val="Arial"/>
      <b val="1"/>
      <color rgb="FF1F6F8B"/>
      <sz val="10"/>
    </font>
    <font>
      <name val="Arial"/>
      <color rgb="FF1F6F8B"/>
      <sz val="10"/>
    </font>
    <font>
      <name val="Arial"/>
      <color rgb="FF1F2D27"/>
      <sz val="10"/>
    </font>
    <font>
      <name val="Arial"/>
      <sz val="10"/>
    </font>
    <font>
      <name val="Arial"/>
      <b val="1"/>
      <color rgb="FF2E7D32"/>
      <sz val="10"/>
    </font>
    <font>
      <name val="Arial"/>
      <color rgb="FF2E7D32"/>
      <sz val="10"/>
    </font>
    <font>
      <name val="Arial"/>
      <b val="1"/>
      <color rgb="FF6A3FA0"/>
      <sz val="10"/>
    </font>
    <font>
      <name val="Arial"/>
      <color rgb="FF6A3FA0"/>
      <sz val="10"/>
    </font>
    <font>
      <name val="Arial"/>
      <b val="1"/>
      <color rgb="FFD2740A"/>
      <sz val="10"/>
    </font>
    <font>
      <name val="Arial"/>
      <color rgb="FFD2740A"/>
      <sz val="10"/>
    </font>
    <font>
      <name val="Arial"/>
      <b val="1"/>
      <color rgb="FF546E7A"/>
      <sz val="10"/>
    </font>
    <font>
      <name val="Arial"/>
      <color rgb="FF546E7A"/>
      <sz val="10"/>
    </font>
    <font>
      <name val="Arial"/>
      <i val="1"/>
      <color rgb="FF6B7A73"/>
      <sz val="9"/>
    </font>
    <font>
      <name val="Arial"/>
      <i val="1"/>
      <color rgb="FF6B7A73"/>
      <sz val="10"/>
    </font>
    <font>
      <name val="Arial"/>
      <b val="1"/>
      <sz val="10"/>
    </font>
    <font>
      <name val="Arial"/>
      <b val="1"/>
      <color rgb="FF0B5D3B"/>
      <sz val="11"/>
    </font>
    <font>
      <name val="Arial"/>
      <b val="1"/>
      <color rgb="FFFFFFFF"/>
      <sz val="18"/>
    </font>
    <font>
      <name val="Arial"/>
      <b val="1"/>
      <color rgb="FF6B7A73"/>
      <sz val="8"/>
    </font>
    <font>
      <name val="Arial"/>
      <b val="1"/>
      <color rgb="FF0B5D3B"/>
      <sz val="20"/>
    </font>
    <font>
      <name val="Arial"/>
      <b val="1"/>
      <color rgb="FFFFFFFF"/>
      <sz val="9"/>
    </font>
    <font>
      <name val="Arial"/>
      <b val="1"/>
      <color rgb="FF44546A"/>
      <sz val="9"/>
    </font>
    <font>
      <name val="Arial"/>
      <b val="1"/>
      <color rgb="FF7F6000"/>
      <sz val="9"/>
    </font>
    <font>
      <name val="Arial"/>
      <b val="1"/>
      <color rgb="FF006100"/>
      <sz val="9"/>
    </font>
    <font>
      <name val="Arial"/>
      <b val="1"/>
      <color rgb="FF9C0006"/>
      <sz val="9"/>
    </font>
    <font>
      <name val="Arial"/>
      <b val="1"/>
      <color rgb="FF833C0B"/>
      <sz val="9"/>
    </font>
    <font>
      <name val="Arial"/>
      <b val="1"/>
      <color rgb="FF595959"/>
      <sz val="9"/>
    </font>
    <font>
      <name val="Arial"/>
      <b val="1"/>
      <color rgb="FF1F2D27"/>
      <sz val="10"/>
    </font>
    <font>
      <name val="Arial"/>
      <color rgb="FF6B7A73"/>
      <sz val="9"/>
    </font>
    <font>
      <name val="Arial"/>
      <b val="1"/>
      <color rgb="FFFFFFFF"/>
      <sz val="22"/>
    </font>
    <font>
      <name val="Arial"/>
      <b val="1"/>
      <color rgb="FF44546A"/>
      <sz val="10"/>
    </font>
    <font>
      <name val="Arial"/>
      <b val="1"/>
      <color rgb="FF7F6000"/>
      <sz val="10"/>
    </font>
    <font>
      <name val="Arial"/>
      <b val="1"/>
      <color rgb="FF006100"/>
      <sz val="10"/>
    </font>
    <font>
      <name val="Arial"/>
      <b val="1"/>
      <color rgb="FF9C0006"/>
      <sz val="10"/>
    </font>
    <font>
      <name val="Arial"/>
      <b val="1"/>
      <color rgb="FF833C0B"/>
      <sz val="10"/>
    </font>
    <font>
      <name val="Arial"/>
      <b val="1"/>
      <color rgb="FF595959"/>
      <sz val="10"/>
    </font>
    <font>
      <name val="Arial"/>
      <b val="1"/>
      <color rgb="FFC0392B"/>
      <sz val="10"/>
    </font>
    <font>
      <name val="Arial"/>
      <b val="1"/>
      <color rgb="FF6B7A73"/>
      <sz val="10"/>
    </font>
    <font>
      <name val="Arial"/>
      <b val="1"/>
      <color rgb="FF3D2F00"/>
      <sz val="9"/>
    </font>
  </fonts>
  <fills count="22">
    <fill>
      <patternFill/>
    </fill>
    <fill>
      <patternFill patternType="gray125"/>
    </fill>
    <fill>
      <patternFill patternType="solid">
        <fgColor rgb="FF0B5D3B"/>
        <bgColor rgb="FF0B5D3B"/>
      </patternFill>
    </fill>
    <fill>
      <patternFill patternType="solid">
        <fgColor rgb="FFE6F2EC"/>
        <bgColor rgb="FFE6F2EC"/>
      </patternFill>
    </fill>
    <fill>
      <patternFill patternType="solid">
        <fgColor rgb="FFFBE7A1"/>
        <bgColor rgb="FFFBE7A1"/>
      </patternFill>
    </fill>
    <fill>
      <patternFill patternType="solid">
        <fgColor rgb="FFF2B705"/>
        <bgColor rgb="FFF2B705"/>
      </patternFill>
    </fill>
    <fill>
      <patternFill patternType="solid">
        <fgColor rgb="FFDCEBF5"/>
        <bgColor rgb="FFDCEBF5"/>
      </patternFill>
    </fill>
    <fill>
      <patternFill patternType="solid">
        <fgColor rgb="FFFFFBE6"/>
        <bgColor rgb="FFFFFBE6"/>
      </patternFill>
    </fill>
    <fill>
      <patternFill patternType="solid">
        <fgColor rgb="FFDDF0E0"/>
        <bgColor rgb="FFDDF0E0"/>
      </patternFill>
    </fill>
    <fill>
      <patternFill patternType="solid">
        <fgColor rgb="FFE8E0F4"/>
        <bgColor rgb="FFE8E0F4"/>
      </patternFill>
    </fill>
    <fill>
      <patternFill patternType="solid">
        <fgColor rgb="FFFCE8CC"/>
        <bgColor rgb="FFFCE8CC"/>
      </patternFill>
    </fill>
    <fill>
      <patternFill patternType="solid">
        <fgColor rgb="FFE3E8EA"/>
        <bgColor rgb="FFE3E8EA"/>
      </patternFill>
    </fill>
    <fill>
      <patternFill patternType="solid">
        <fgColor rgb="FFF2F2F2"/>
        <bgColor rgb="FFF2F2F2"/>
      </patternFill>
    </fill>
    <fill>
      <patternFill patternType="solid">
        <fgColor rgb="FFF7FAF8"/>
        <bgColor rgb="FFF7FAF8"/>
      </patternFill>
    </fill>
    <fill>
      <patternFill patternType="solid">
        <fgColor rgb="FFF4F7F5"/>
        <bgColor rgb="FFF4F7F5"/>
      </patternFill>
    </fill>
    <fill>
      <patternFill patternType="solid">
        <fgColor rgb="FFE8EEF4"/>
        <bgColor rgb="FFE8EEF4"/>
      </patternFill>
    </fill>
    <fill>
      <patternFill patternType="solid">
        <fgColor rgb="FFFFF2CC"/>
        <bgColor rgb="FFFFF2CC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8CBAD"/>
        <bgColor rgb="FFF8CBAD"/>
      </patternFill>
    </fill>
    <fill>
      <patternFill patternType="solid">
        <fgColor rgb="FFE7E6E6"/>
        <bgColor rgb="FFE7E6E6"/>
      </patternFill>
    </fill>
    <fill>
      <patternFill patternType="solid">
        <fgColor rgb="FF2F4F43"/>
        <bgColor rgb="FF2F4F43"/>
      </patternFill>
    </fill>
  </fills>
  <borders count="8">
    <border>
      <left/>
      <right/>
      <top/>
      <bottom/>
      <diagonal/>
    </border>
    <border>
      <left style="thin">
        <color rgb="FFCBD5D0"/>
      </left>
      <right style="thin">
        <color rgb="FFCBD5D0"/>
      </right>
      <top style="thin">
        <color rgb="FFCBD5D0"/>
      </top>
      <bottom style="thin">
        <color rgb="FFCBD5D0"/>
      </bottom>
      <diagonal/>
    </border>
    <border>
      <left/>
      <right/>
      <top/>
      <bottom style="medium">
        <color rgb="FFF2B705"/>
      </bottom>
      <diagonal/>
    </border>
    <border>
      <left/>
      <right/>
      <top style="thick">
        <color rgb="FFF2B705"/>
      </top>
      <bottom/>
      <diagonal/>
    </border>
    <border>
      <left/>
      <right/>
      <top style="thin">
        <color rgb="FFCBD5D0"/>
      </top>
      <bottom/>
      <diagonal/>
    </border>
    <border>
      <left/>
      <right style="thin">
        <color rgb="FFCBD5D0"/>
      </right>
      <top style="thin">
        <color rgb="FFCBD5D0"/>
      </top>
      <bottom/>
      <diagonal/>
    </border>
    <border>
      <left/>
      <right/>
      <top style="thin">
        <color rgb="FFCBD5D0"/>
      </top>
      <bottom style="thin">
        <color rgb="FFCBD5D0"/>
      </bottom>
      <diagonal/>
    </border>
    <border>
      <left/>
      <right style="thin">
        <color rgb="FFCBD5D0"/>
      </right>
      <top style="thin">
        <color rgb="FFCBD5D0"/>
      </top>
      <bottom style="thin">
        <color rgb="FFCBD5D0"/>
      </bottom>
      <diagonal/>
    </border>
  </borders>
  <cellStyleXfs count="1">
    <xf numFmtId="0" fontId="0" fillId="0" borderId="0"/>
  </cellStyleXfs>
  <cellXfs count="99">
    <xf numFmtId="0" fontId="0" fillId="0" borderId="0" pivotButton="0" quotePrefix="0" xfId="0"/>
    <xf numFmtId="0" fontId="21" fillId="3" borderId="1" applyAlignment="1" pivotButton="0" quotePrefix="0" xfId="0">
      <alignment vertical="center" indent="1"/>
    </xf>
    <xf numFmtId="0" fontId="5" fillId="2" borderId="1" applyAlignment="1" pivotButton="0" quotePrefix="0" xfId="0">
      <alignment horizontal="center" vertical="center" wrapText="1"/>
    </xf>
    <xf numFmtId="0" fontId="36" fillId="15" borderId="1" applyAlignment="1" pivotButton="0" quotePrefix="0" xfId="0">
      <alignment horizontal="center" vertical="center" wrapText="1"/>
    </xf>
    <xf numFmtId="0" fontId="37" fillId="16" borderId="1" applyAlignment="1" pivotButton="0" quotePrefix="0" xfId="0">
      <alignment horizontal="center" vertical="center" wrapText="1"/>
    </xf>
    <xf numFmtId="0" fontId="38" fillId="17" borderId="1" applyAlignment="1" pivotButton="0" quotePrefix="0" xfId="0">
      <alignment horizontal="center" vertical="center" wrapText="1"/>
    </xf>
    <xf numFmtId="0" fontId="39" fillId="18" borderId="1" applyAlignment="1" pivotButton="0" quotePrefix="0" xfId="0">
      <alignment horizontal="center" vertical="center" wrapText="1"/>
    </xf>
    <xf numFmtId="0" fontId="40" fillId="19" borderId="1" applyAlignment="1" pivotButton="0" quotePrefix="0" xfId="0">
      <alignment horizontal="center" vertical="center" wrapText="1"/>
    </xf>
    <xf numFmtId="0" fontId="41" fillId="20" borderId="1" applyAlignment="1" pivotButton="0" quotePrefix="0" xfId="0">
      <alignment horizontal="center" vertical="center" wrapText="1"/>
    </xf>
    <xf numFmtId="0" fontId="42" fillId="13" borderId="1" applyAlignment="1" pivotButton="0" quotePrefix="0" xfId="0">
      <alignment horizontal="center" vertical="center" wrapText="1"/>
    </xf>
    <xf numFmtId="0" fontId="15" fillId="13" borderId="1" applyAlignment="1" pivotButton="0" quotePrefix="0" xfId="0">
      <alignment horizontal="center" vertical="center" wrapText="1"/>
    </xf>
    <xf numFmtId="0" fontId="43" fillId="13" borderId="1" applyAlignment="1" pivotButton="0" quotePrefix="0" xfId="0">
      <alignment horizontal="center" vertical="center" wrapText="1"/>
    </xf>
    <xf numFmtId="0" fontId="21" fillId="13" borderId="1" applyAlignment="1" pivotButton="0" quotePrefix="0" xfId="0">
      <alignment horizontal="center" vertical="center" wrapText="1"/>
    </xf>
    <xf numFmtId="0" fontId="44" fillId="5" borderId="1" applyAlignment="1" pivotButton="0" quotePrefix="0" xfId="0">
      <alignment horizontal="center" vertical="center" wrapText="1"/>
    </xf>
    <xf numFmtId="0" fontId="20" fillId="7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4" fillId="14" borderId="3" applyAlignment="1" pivotButton="0" quotePrefix="0" xfId="0">
      <alignment horizontal="center" vertical="center"/>
    </xf>
    <xf numFmtId="1" fontId="25" fillId="14" borderId="0" applyAlignment="1" pivotButton="0" quotePrefix="0" xfId="0">
      <alignment horizontal="center" vertical="center" wrapText="1"/>
    </xf>
    <xf numFmtId="0" fontId="26" fillId="2" borderId="1" applyAlignment="1" pivotButton="0" quotePrefix="0" xfId="0">
      <alignment horizontal="center" vertical="center" wrapText="1"/>
    </xf>
    <xf numFmtId="0" fontId="27" fillId="15" borderId="1" applyAlignment="1" pivotButton="0" quotePrefix="0" xfId="0">
      <alignment horizontal="center" vertical="center" wrapText="1"/>
    </xf>
    <xf numFmtId="0" fontId="28" fillId="16" borderId="1" applyAlignment="1" pivotButton="0" quotePrefix="0" xfId="0">
      <alignment horizontal="center" vertical="center" wrapText="1"/>
    </xf>
    <xf numFmtId="0" fontId="29" fillId="17" borderId="1" applyAlignment="1" pivotButton="0" quotePrefix="0" xfId="0">
      <alignment horizontal="center" vertical="center" wrapText="1"/>
    </xf>
    <xf numFmtId="0" fontId="30" fillId="18" borderId="1" applyAlignment="1" pivotButton="0" quotePrefix="0" xfId="0">
      <alignment horizontal="center" vertical="center" wrapText="1"/>
    </xf>
    <xf numFmtId="0" fontId="31" fillId="19" borderId="1" applyAlignment="1" pivotButton="0" quotePrefix="0" xfId="0">
      <alignment horizontal="center" vertical="center" wrapText="1"/>
    </xf>
    <xf numFmtId="0" fontId="32" fillId="20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vertical="center" indent="1"/>
    </xf>
    <xf numFmtId="164" fontId="21" fillId="0" borderId="1" applyAlignment="1" pivotButton="0" quotePrefix="0" xfId="0">
      <alignment horizontal="center" vertical="center" wrapText="1"/>
    </xf>
    <xf numFmtId="164" fontId="10" fillId="0" borderId="1" applyAlignment="1" pivotButton="0" quotePrefix="0" xfId="0">
      <alignment horizontal="center" vertical="center" wrapText="1"/>
    </xf>
    <xf numFmtId="9" fontId="33" fillId="0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vertical="center" indent="1"/>
    </xf>
    <xf numFmtId="0" fontId="13" fillId="9" borderId="1" applyAlignment="1" pivotButton="0" quotePrefix="0" xfId="0">
      <alignment vertical="center" indent="1"/>
    </xf>
    <xf numFmtId="0" fontId="15" fillId="10" borderId="1" applyAlignment="1" pivotButton="0" quotePrefix="0" xfId="0">
      <alignment vertical="center" indent="1"/>
    </xf>
    <xf numFmtId="0" fontId="17" fillId="11" borderId="1" applyAlignment="1" pivotButton="0" quotePrefix="0" xfId="0">
      <alignment vertical="center" indent="1"/>
    </xf>
    <xf numFmtId="0" fontId="5" fillId="21" borderId="1" applyAlignment="1" pivotButton="0" quotePrefix="0" xfId="0">
      <alignment vertical="center" indent="1"/>
    </xf>
    <xf numFmtId="164" fontId="5" fillId="21" borderId="1" applyAlignment="1" pivotButton="0" quotePrefix="0" xfId="0">
      <alignment horizontal="center" vertical="center" wrapText="1"/>
    </xf>
    <xf numFmtId="9" fontId="5" fillId="21" borderId="1" applyAlignment="1" pivotButton="0" quotePrefix="0" xfId="0">
      <alignment horizontal="center" vertical="center" wrapText="1"/>
    </xf>
    <xf numFmtId="0" fontId="33" fillId="13" borderId="1" applyAlignment="1" pivotButton="0" quotePrefix="0" xfId="0">
      <alignment vertical="center" indent="1"/>
    </xf>
    <xf numFmtId="0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top" wrapText="1"/>
    </xf>
    <xf numFmtId="0" fontId="8" fillId="6" borderId="1" applyAlignment="1" pivotButton="0" quotePrefix="0" xfId="0">
      <alignment vertical="top" wrapText="1"/>
    </xf>
    <xf numFmtId="0" fontId="9" fillId="6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9" fillId="0" borderId="1" applyAlignment="1" pivotButton="0" quotePrefix="0" xfId="0">
      <alignment horizontal="center" vertical="top" wrapText="1"/>
    </xf>
    <xf numFmtId="0" fontId="10" fillId="7" borderId="1" applyAlignment="1" pivotButton="0" quotePrefix="0" xfId="0">
      <alignment vertical="top" wrapText="1"/>
    </xf>
    <xf numFmtId="0" fontId="10" fillId="7" borderId="1" applyAlignment="1" pivotButton="0" quotePrefix="0" xfId="0">
      <alignment horizontal="center" vertical="top" wrapText="1"/>
    </xf>
    <xf numFmtId="14" fontId="10" fillId="7" borderId="1" applyAlignment="1" pivotButton="0" quotePrefix="0" xfId="0">
      <alignment horizontal="center" vertical="top" wrapText="1"/>
    </xf>
    <xf numFmtId="0" fontId="11" fillId="8" borderId="1" applyAlignment="1" pivotButton="0" quotePrefix="0" xfId="0">
      <alignment horizontal="center" vertical="top" wrapText="1"/>
    </xf>
    <xf numFmtId="0" fontId="12" fillId="8" borderId="1" applyAlignment="1" pivotButton="0" quotePrefix="0" xfId="0">
      <alignment vertical="top" wrapText="1"/>
    </xf>
    <xf numFmtId="0" fontId="9" fillId="8" borderId="1" applyAlignment="1" pivotButton="0" quotePrefix="0" xfId="0">
      <alignment vertical="top" wrapText="1"/>
    </xf>
    <xf numFmtId="0" fontId="13" fillId="9" borderId="1" applyAlignment="1" pivotButton="0" quotePrefix="0" xfId="0">
      <alignment horizontal="center" vertical="top" wrapText="1"/>
    </xf>
    <xf numFmtId="0" fontId="14" fillId="9" borderId="1" applyAlignment="1" pivotButton="0" quotePrefix="0" xfId="0">
      <alignment vertical="top" wrapText="1"/>
    </xf>
    <xf numFmtId="0" fontId="9" fillId="9" borderId="1" applyAlignment="1" pivotButton="0" quotePrefix="0" xfId="0">
      <alignment vertical="top" wrapText="1"/>
    </xf>
    <xf numFmtId="0" fontId="15" fillId="10" borderId="1" applyAlignment="1" pivotButton="0" quotePrefix="0" xfId="0">
      <alignment horizontal="center" vertical="top" wrapText="1"/>
    </xf>
    <xf numFmtId="0" fontId="16" fillId="10" borderId="1" applyAlignment="1" pivotButton="0" quotePrefix="0" xfId="0">
      <alignment vertical="top" wrapText="1"/>
    </xf>
    <xf numFmtId="0" fontId="9" fillId="10" borderId="1" applyAlignment="1" pivotButton="0" quotePrefix="0" xfId="0">
      <alignment vertical="top" wrapText="1"/>
    </xf>
    <xf numFmtId="0" fontId="17" fillId="11" borderId="1" applyAlignment="1" pivotButton="0" quotePrefix="0" xfId="0">
      <alignment horizontal="center" vertical="top" wrapText="1"/>
    </xf>
    <xf numFmtId="0" fontId="18" fillId="11" borderId="1" applyAlignment="1" pivotButton="0" quotePrefix="0" xfId="0">
      <alignment vertical="top" wrapText="1"/>
    </xf>
    <xf numFmtId="0" fontId="9" fillId="11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14" fontId="10" fillId="7" borderId="1" applyAlignment="1" pivotButton="0" quotePrefix="0" xfId="0">
      <alignment vertical="top" wrapText="1"/>
    </xf>
    <xf numFmtId="0" fontId="20" fillId="12" borderId="1" applyAlignment="1" pivotButton="0" quotePrefix="0" xfId="0">
      <alignment horizontal="center" vertical="top" wrapText="1"/>
    </xf>
    <xf numFmtId="0" fontId="20" fillId="12" borderId="1" applyAlignment="1" pivotButton="0" quotePrefix="0" xfId="0">
      <alignment vertical="top" wrapText="1"/>
    </xf>
    <xf numFmtId="0" fontId="9" fillId="7" borderId="1" applyAlignment="1" pivotButton="0" quotePrefix="0" xfId="0">
      <alignment horizontal="center" vertical="top" wrapText="1"/>
    </xf>
    <xf numFmtId="0" fontId="9" fillId="7" borderId="1" applyAlignment="1" pivotButton="0" quotePrefix="0" xfId="0">
      <alignment vertical="top" wrapText="1"/>
    </xf>
    <xf numFmtId="0" fontId="21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 wrapText="1"/>
    </xf>
    <xf numFmtId="0" fontId="10" fillId="0" borderId="1" applyAlignment="1" pivotButton="0" quotePrefix="0" xfId="0">
      <alignment horizontal="center" vertical="top" wrapText="1"/>
    </xf>
    <xf numFmtId="0" fontId="21" fillId="13" borderId="1" applyAlignment="1" pivotButton="0" quotePrefix="0" xfId="0">
      <alignment vertical="top" wrapText="1"/>
    </xf>
    <xf numFmtId="0" fontId="2" fillId="13" borderId="1" applyAlignment="1" pivotButton="0" quotePrefix="0" xfId="0">
      <alignment horizontal="center" vertical="top" wrapText="1"/>
    </xf>
    <xf numFmtId="0" fontId="10" fillId="13" borderId="1" applyAlignment="1" pivotButton="0" quotePrefix="0" xfId="0">
      <alignment horizontal="center" vertical="top" wrapText="1"/>
    </xf>
    <xf numFmtId="0" fontId="10" fillId="13" borderId="1" applyAlignment="1" pivotButton="0" quotePrefix="0" xfId="0">
      <alignment vertical="top" wrapText="1"/>
    </xf>
    <xf numFmtId="0" fontId="21" fillId="3" borderId="1" applyAlignment="1" pivotButton="0" quotePrefix="0" xfId="0">
      <alignment vertical="top" wrapText="1"/>
    </xf>
    <xf numFmtId="0" fontId="19" fillId="0" borderId="0" applyAlignment="1" pivotButton="0" quotePrefix="0" xfId="0">
      <alignment vertical="center" indent="1"/>
    </xf>
    <xf numFmtId="0" fontId="0" fillId="0" borderId="0" pivotButton="0" quotePrefix="0" xfId="0"/>
    <xf numFmtId="0" fontId="10" fillId="0" borderId="1" applyAlignment="1" pivotButton="0" quotePrefix="0" xfId="0">
      <alignment vertical="center" wrapText="1" indent="1"/>
    </xf>
    <xf numFmtId="0" fontId="0" fillId="0" borderId="1" pivotButton="0" quotePrefix="0" xfId="0"/>
    <xf numFmtId="0" fontId="10" fillId="0" borderId="0" applyAlignment="1" pivotButton="0" quotePrefix="0" xfId="0">
      <alignment vertical="center" wrapText="1" indent="1"/>
    </xf>
    <xf numFmtId="0" fontId="20" fillId="7" borderId="1" applyAlignment="1" pivotButton="0" quotePrefix="0" xfId="0">
      <alignment vertical="center" wrapText="1" indent="1"/>
    </xf>
    <xf numFmtId="0" fontId="22" fillId="0" borderId="2" applyAlignment="1" pivotButton="0" quotePrefix="0" xfId="0">
      <alignment vertical="center"/>
    </xf>
    <xf numFmtId="0" fontId="35" fillId="2" borderId="0" applyAlignment="1" pivotButton="0" quotePrefix="0" xfId="0">
      <alignment vertical="center" indent="1"/>
    </xf>
    <xf numFmtId="0" fontId="9" fillId="0" borderId="1" applyAlignment="1" pivotButton="0" quotePrefix="0" xfId="0">
      <alignment vertical="center" wrapText="1" indent="1"/>
    </xf>
    <xf numFmtId="0" fontId="24" fillId="14" borderId="3" applyAlignment="1" pivotButton="0" quotePrefix="0" xfId="0">
      <alignment horizontal="center" vertical="center"/>
    </xf>
    <xf numFmtId="0" fontId="10" fillId="14" borderId="3" pivotButton="0" quotePrefix="0" xfId="0"/>
    <xf numFmtId="49" fontId="2" fillId="14" borderId="0" applyAlignment="1" pivotButton="0" quotePrefix="0" xfId="0">
      <alignment horizontal="center" vertical="center" wrapText="1"/>
    </xf>
    <xf numFmtId="0" fontId="10" fillId="14" borderId="0" pivotButton="0" quotePrefix="0" xfId="0"/>
    <xf numFmtId="9" fontId="25" fillId="14" borderId="0" applyAlignment="1" pivotButton="0" quotePrefix="0" xfId="0">
      <alignment horizontal="center" vertical="center" wrapText="1"/>
    </xf>
    <xf numFmtId="0" fontId="34" fillId="0" borderId="0" applyAlignment="1" pivotButton="0" quotePrefix="0" xfId="0">
      <alignment vertical="top" wrapText="1"/>
    </xf>
    <xf numFmtId="0" fontId="23" fillId="2" borderId="0" applyAlignment="1" pivotButton="0" quotePrefix="0" xfId="0">
      <alignment vertical="center" indent="1"/>
    </xf>
    <xf numFmtId="1" fontId="25" fillId="14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vertical="center" indent="1"/>
    </xf>
    <xf numFmtId="0" fontId="3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 indent="1"/>
    </xf>
    <xf numFmtId="0" fontId="4" fillId="4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top" wrapText="1"/>
    </xf>
    <xf numFmtId="0" fontId="0" fillId="0" borderId="2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3" pivotButton="0" quotePrefix="0" xfId="0"/>
    <xf numFmtId="166" fontId="9" fillId="7" borderId="1" applyAlignment="1" pivotButton="0" quotePrefix="0" xfId="0">
      <alignment horizontal="center" vertical="top" wrapText="1"/>
    </xf>
  </cellXfs>
  <cellStyles count="1">
    <cellStyle name="Normal" xfId="0" builtinId="0"/>
  </cellStyles>
  <dxfs count="31">
    <dxf>
      <font>
        <name val="Arial"/>
        <b val="1"/>
        <color rgb="FF595959"/>
      </font>
      <fill>
        <patternFill patternType="solid">
          <fgColor rgb="FFE7E6E6"/>
          <bgColor rgb="FFE7E6E6"/>
        </patternFill>
      </fill>
    </dxf>
    <dxf>
      <font>
        <name val="Arial"/>
        <b val="1"/>
        <color rgb="FF00610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833C0B"/>
      </font>
      <fill>
        <patternFill patternType="solid">
          <fgColor rgb="FFF8CBAD"/>
          <bgColor rgb="FFF8CBAD"/>
        </patternFill>
      </fill>
    </dxf>
    <dxf>
      <font>
        <name val="Arial"/>
        <b val="1"/>
        <color rgb="FF1F4E78"/>
      </font>
      <fill>
        <patternFill patternType="solid">
          <fgColor rgb="FFDDEBF7"/>
          <bgColor rgb="FFDDEBF7"/>
        </patternFill>
      </fill>
    </dxf>
    <dxf>
      <font>
        <name val="Arial"/>
        <b val="1"/>
        <color rgb="FF7F6000"/>
      </font>
      <fill>
        <patternFill patternType="solid">
          <fgColor rgb="FFFFF2CC"/>
          <bgColor rgb="FFFFF2CC"/>
        </patternFill>
      </fill>
    </dxf>
    <dxf>
      <font>
        <name val="Arial"/>
        <b val="1"/>
        <color rgb="FF9C0006"/>
      </font>
      <fill>
        <patternFill patternType="solid">
          <fgColor rgb="FFFFC7CE"/>
          <bgColor rgb="FFFFC7CE"/>
        </patternFill>
      </fill>
    </dxf>
    <dxf>
      <font>
        <name val="Arial"/>
        <b val="1"/>
        <color rgb="FF595959"/>
      </font>
      <fill>
        <patternFill patternType="solid">
          <fgColor rgb="FFE7E6E6"/>
          <bgColor rgb="FFE7E6E6"/>
        </patternFill>
      </fill>
    </dxf>
    <dxf>
      <font>
        <name val="Arial"/>
        <b val="1"/>
        <color rgb="FF7F6000"/>
      </font>
      <fill>
        <patternFill patternType="solid">
          <fgColor rgb="FFFFF2CC"/>
          <bgColor rgb="FFFFF2CC"/>
        </patternFill>
      </fill>
    </dxf>
    <dxf>
      <font>
        <name val="Arial"/>
        <b val="1"/>
        <color rgb="FF833C0B"/>
      </font>
      <fill>
        <patternFill patternType="solid">
          <fgColor rgb="FFF8CBAD"/>
          <bgColor rgb="FFF8CBAD"/>
        </patternFill>
      </fill>
    </dxf>
    <dxf>
      <font>
        <name val="Arial"/>
        <b val="1"/>
        <color rgb="FF9C0006"/>
      </font>
      <fill>
        <patternFill patternType="solid">
          <fgColor rgb="FFFFC7CE"/>
          <bgColor rgb="FFFFC7CE"/>
        </patternFill>
      </fill>
    </dxf>
    <dxf>
      <font>
        <name val="Arial"/>
        <b val="1"/>
        <color rgb="FF595959"/>
      </font>
      <fill>
        <patternFill patternType="solid">
          <fgColor rgb="FFE7E6E6"/>
          <bgColor rgb="FFE7E6E6"/>
        </patternFill>
      </fill>
    </dxf>
    <dxf>
      <font>
        <name val="Arial"/>
        <b val="1"/>
        <color rgb="FF833C0B"/>
      </font>
      <fill>
        <patternFill patternType="solid">
          <fgColor rgb="FFF8CBAD"/>
          <bgColor rgb="FFF8CBAD"/>
        </patternFill>
      </fill>
    </dxf>
    <dxf>
      <font>
        <name val="Arial"/>
        <b val="1"/>
        <color rgb="FF9C0006"/>
      </font>
      <fill>
        <patternFill patternType="solid">
          <fgColor rgb="FFFFC7CE"/>
          <bgColor rgb="FFFFC7CE"/>
        </patternFill>
      </fill>
    </dxf>
    <dxf>
      <font>
        <name val="Arial"/>
        <b val="1"/>
        <color rgb="FF00610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7F6000"/>
      </font>
      <fill>
        <patternFill patternType="solid">
          <fgColor rgb="FFFFF2CC"/>
          <bgColor rgb="FFFFF2CC"/>
        </patternFill>
      </fill>
    </dxf>
    <dxf>
      <font>
        <name val="Arial"/>
        <b val="1"/>
        <color rgb="FF44546A"/>
      </font>
      <fill>
        <patternFill patternType="solid">
          <fgColor rgb="FFE8EEF4"/>
          <bgColor rgb="FFE8EEF4"/>
        </patternFill>
      </fill>
    </dxf>
    <dxf>
      <font>
        <name val="Arial"/>
        <b val="1"/>
        <color rgb="FF6B7A73"/>
      </font>
    </dxf>
    <dxf>
      <font>
        <name val="Arial"/>
        <b val="1"/>
        <color rgb="FFD2740A"/>
      </font>
    </dxf>
    <dxf>
      <font>
        <name val="Arial"/>
        <b val="1"/>
        <color rgb="FFC0392B"/>
      </font>
    </dxf>
    <dxf>
      <font>
        <name val="Arial"/>
        <b val="1"/>
        <color rgb="FF00610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7F6000"/>
      </font>
      <fill>
        <patternFill patternType="solid">
          <fgColor rgb="FFFFF2CC"/>
          <bgColor rgb="FFFFF2CC"/>
        </patternFill>
      </fill>
    </dxf>
    <dxf>
      <font>
        <name val="Arial"/>
        <b val="1"/>
        <color rgb="FF9C0006"/>
      </font>
      <fill>
        <patternFill patternType="solid">
          <fgColor rgb="FFFFC7CE"/>
          <bgColor rgb="FFFFC7CE"/>
        </patternFill>
      </fill>
    </dxf>
    <dxf>
      <font>
        <name val="Arial"/>
        <b val="1"/>
        <color rgb="FFC0392B"/>
        <sz val="20"/>
      </font>
    </dxf>
    <dxf>
      <font>
        <name val="Arial"/>
        <b val="1"/>
        <color rgb="FF833C0B"/>
      </font>
    </dxf>
    <dxf>
      <font>
        <name val="Arial"/>
        <b val="1"/>
        <color rgb="FF833C0B"/>
      </font>
    </dxf>
    <dxf>
      <font>
        <name val="Arial"/>
        <b val="1"/>
        <color rgb="FF833C0B"/>
      </font>
    </dxf>
    <dxf>
      <font>
        <name val="Arial"/>
        <b val="1"/>
        <color rgb="FF833C0B"/>
      </font>
    </dxf>
    <dxf>
      <font>
        <name val="Arial"/>
        <b val="1"/>
        <color rgb="FFC0392B"/>
      </font>
    </dxf>
    <dxf>
      <font>
        <name val="Arial"/>
        <b val="1"/>
        <color rgb="FFC0392B"/>
      </font>
    </dxf>
    <dxf>
      <font>
        <name val="Arial"/>
        <b val="1"/>
        <color rgb="FFC0392B"/>
      </font>
    </dxf>
    <dxf>
      <font>
        <name val="Arial"/>
        <b val="1"/>
        <color rgb="FF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fr-FR"/>
              <a:t>Avancement par catégorie</a:t>
            </a:r>
          </a:p>
        </rich>
      </tx>
      <overlay val="1"/>
    </title>
    <plotArea>
      <layout/>
      <barChart>
        <barDir val="bar"/>
        <grouping val="stacked"/>
        <varyColors val="1"/>
        <ser>
          <idx val="0"/>
          <order val="0"/>
          <tx>
            <strRef>
              <f>Synthèse!$D$8</f>
              <strCache>
                <ptCount val="1"/>
                <pt idx="0">
                  <v>À tester</v>
                </pt>
              </strCache>
            </strRef>
          </tx>
          <spPr>
            <a:solidFill>
              <a:srgbClr val="C9D3DD"/>
            </a:solidFill>
            <a:ln>
              <a:prstDash val="solid"/>
            </a:ln>
          </spPr>
          <invertIfNegative val="1"/>
          <cat>
            <strRef>
              <f>Synthèse!$B$9:$B$13</f>
              <strCache>
                <ptCount val="5"/>
                <pt idx="0">
                  <v>Enregistrement</v>
                </pt>
                <pt idx="1">
                  <v>Suivi</v>
                </pt>
                <pt idx="2">
                  <v>Intelligence artificielle</v>
                </pt>
                <pt idx="3">
                  <v>Marketplace</v>
                </pt>
                <pt idx="4">
                  <v>Transverse</v>
                </pt>
              </strCache>
            </strRef>
          </cat>
          <val>
            <numRef>
              <f>Synthèse!$D$9:$D$13</f>
              <numCache>
                <formatCode>0;\-0;"–"</formatCode>
                <ptCount val="5"/>
                <pt idx="0">
                  <v>16</v>
                </pt>
                <pt idx="1">
                  <v>27</v>
                </pt>
                <pt idx="2">
                  <v>25</v>
                </pt>
                <pt idx="3">
                  <v>15</v>
                </pt>
                <pt idx="4">
                  <v>42</v>
                </pt>
              </numCache>
            </numRef>
          </val>
        </ser>
        <ser>
          <idx val="1"/>
          <order val="1"/>
          <tx>
            <strRef>
              <f>Synthèse!$E$8</f>
              <strCache>
                <ptCount val="1"/>
                <pt idx="0">
                  <v>En cours</v>
                </pt>
              </strCache>
            </strRef>
          </tx>
          <spPr>
            <a:solidFill>
              <a:srgbClr val="F2B705"/>
            </a:solidFill>
            <a:ln>
              <a:prstDash val="solid"/>
            </a:ln>
          </spPr>
          <invertIfNegative val="1"/>
          <cat>
            <strRef>
              <f>Synthèse!$B$9:$B$13</f>
              <strCache>
                <ptCount val="5"/>
                <pt idx="0">
                  <v>Enregistrement</v>
                </pt>
                <pt idx="1">
                  <v>Suivi</v>
                </pt>
                <pt idx="2">
                  <v>Intelligence artificielle</v>
                </pt>
                <pt idx="3">
                  <v>Marketplace</v>
                </pt>
                <pt idx="4">
                  <v>Transverse</v>
                </pt>
              </strCache>
            </strRef>
          </cat>
          <val>
            <numRef>
              <f>Synthèse!$E$9:$E$13</f>
              <numCache>
                <formatCode>0;\-0;"–"</formatCode>
                <ptCount val="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</numCache>
            </numRef>
          </val>
        </ser>
        <ser>
          <idx val="2"/>
          <order val="2"/>
          <tx>
            <strRef>
              <f>Synthèse!$F$8</f>
              <strCache>
                <ptCount val="1"/>
                <pt idx="0">
                  <v>OK</v>
                </pt>
              </strCache>
            </strRef>
          </tx>
          <spPr>
            <a:solidFill>
              <a:srgbClr val="2E9E5B"/>
            </a:solidFill>
            <a:ln>
              <a:prstDash val="solid"/>
            </a:ln>
          </spPr>
          <invertIfNegative val="1"/>
          <cat>
            <strRef>
              <f>Synthèse!$B$9:$B$13</f>
              <strCache>
                <ptCount val="5"/>
                <pt idx="0">
                  <v>Enregistrement</v>
                </pt>
                <pt idx="1">
                  <v>Suivi</v>
                </pt>
                <pt idx="2">
                  <v>Intelligence artificielle</v>
                </pt>
                <pt idx="3">
                  <v>Marketplace</v>
                </pt>
                <pt idx="4">
                  <v>Transverse</v>
                </pt>
              </strCache>
            </strRef>
          </cat>
          <val>
            <numRef>
              <f>Synthèse!$F$9:$F$13</f>
              <numCache>
                <formatCode>0;\-0;"–"</formatCode>
                <ptCount val="5"/>
                <pt idx="0">
                  <v>9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</numCache>
            </numRef>
          </val>
        </ser>
        <ser>
          <idx val="3"/>
          <order val="3"/>
          <tx>
            <strRef>
              <f>Synthèse!$G$8</f>
              <strCache>
                <ptCount val="1"/>
                <pt idx="0">
                  <v>KO</v>
                </pt>
              </strCache>
            </strRef>
          </tx>
          <spPr>
            <a:solidFill>
              <a:srgbClr val="D64545"/>
            </a:solidFill>
            <a:ln>
              <a:prstDash val="solid"/>
            </a:ln>
          </spPr>
          <invertIfNegative val="1"/>
          <cat>
            <strRef>
              <f>Synthèse!$B$9:$B$13</f>
              <strCache>
                <ptCount val="5"/>
                <pt idx="0">
                  <v>Enregistrement</v>
                </pt>
                <pt idx="1">
                  <v>Suivi</v>
                </pt>
                <pt idx="2">
                  <v>Intelligence artificielle</v>
                </pt>
                <pt idx="3">
                  <v>Marketplace</v>
                </pt>
                <pt idx="4">
                  <v>Transverse</v>
                </pt>
              </strCache>
            </strRef>
          </cat>
          <val>
            <numRef>
              <f>Synthèse!$G$9:$G$13</f>
              <numCache>
                <formatCode>0;\-0;"–"</formatCode>
                <ptCount val="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</numCache>
            </numRef>
          </val>
        </ser>
        <ser>
          <idx val="4"/>
          <order val="4"/>
          <tx>
            <strRef>
              <f>Synthèse!$H$8</f>
              <strCache>
                <ptCount val="1"/>
                <pt idx="0">
                  <v>Bloqué</v>
                </pt>
              </strCache>
            </strRef>
          </tx>
          <spPr>
            <a:solidFill>
              <a:srgbClr val="E58A3A"/>
            </a:solidFill>
            <a:ln>
              <a:prstDash val="solid"/>
            </a:ln>
          </spPr>
          <invertIfNegative val="1"/>
          <cat>
            <strRef>
              <f>Synthèse!$B$9:$B$13</f>
              <strCache>
                <ptCount val="5"/>
                <pt idx="0">
                  <v>Enregistrement</v>
                </pt>
                <pt idx="1">
                  <v>Suivi</v>
                </pt>
                <pt idx="2">
                  <v>Intelligence artificielle</v>
                </pt>
                <pt idx="3">
                  <v>Marketplace</v>
                </pt>
                <pt idx="4">
                  <v>Transverse</v>
                </pt>
              </strCache>
            </strRef>
          </cat>
          <val>
            <numRef>
              <f>Synthèse!$H$9:$H$13</f>
              <numCache>
                <formatCode>0;\-0;"–"</formatCode>
                <ptCount val="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</numCache>
            </numRef>
          </val>
        </ser>
        <ser>
          <idx val="5"/>
          <order val="5"/>
          <tx>
            <strRef>
              <f>Synthèse!$I$8</f>
              <strCache>
                <ptCount val="1"/>
                <pt idx="0">
                  <v>Non applicable</v>
                </pt>
              </strCache>
            </strRef>
          </tx>
          <spPr>
            <a:solidFill>
              <a:srgbClr val="B8B8B8"/>
            </a:solidFill>
            <a:ln>
              <a:prstDash val="solid"/>
            </a:ln>
          </spPr>
          <invertIfNegative val="1"/>
          <cat>
            <strRef>
              <f>Synthèse!$B$9:$B$13</f>
              <strCache>
                <ptCount val="5"/>
                <pt idx="0">
                  <v>Enregistrement</v>
                </pt>
                <pt idx="1">
                  <v>Suivi</v>
                </pt>
                <pt idx="2">
                  <v>Intelligence artificielle</v>
                </pt>
                <pt idx="3">
                  <v>Marketplace</v>
                </pt>
                <pt idx="4">
                  <v>Transverse</v>
                </pt>
              </strCache>
            </strRef>
          </cat>
          <val>
            <numRef>
              <f>Synthèse!$I$9:$I$13</f>
              <numCache>
                <formatCode>0;\-0;"–"</formatCode>
                <ptCount val="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10"/>
        <axId val="100"/>
      </barChart>
      <catAx>
        <axId val="10"/>
        <scaling>
          <orientation val="minMax"/>
        </scaling>
        <delete val="1"/>
        <axPos val="l"/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b"/>
        <majorGridlines/>
        <numFmt formatCode="0;\-0;&quot;–&quot;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b"/>
      <overlay val="1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12</col>
      <colOff>0</colOff>
      <row>6</row>
      <rowOff>0</rowOff>
    </from>
    <ext cx="612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0B5D3B"/>
    <outlinePr summaryBelow="1" summaryRight="1"/>
    <pageSetUpPr fitToPage="1"/>
  </sheetPr>
  <dimension ref="B1:G54"/>
  <sheetViews>
    <sheetView showGridLines="0" topLeftCell="A11" workbookViewId="0">
      <selection activeCell="A1" sqref="A1"/>
    </sheetView>
  </sheetViews>
  <sheetFormatPr baseColWidth="10" defaultColWidth="8.88671875" defaultRowHeight="14.4"/>
  <cols>
    <col width="3" customWidth="1" style="73" min="1" max="1"/>
    <col width="24" customWidth="1" style="73" min="2" max="2"/>
    <col width="22" customWidth="1" style="73" min="3" max="7"/>
    <col width="3" customWidth="1" style="73" min="8" max="8"/>
  </cols>
  <sheetData>
    <row r="1" ht="46.05" customHeight="1" s="73">
      <c r="B1" s="79" t="inlineStr">
        <is>
          <t>Cahier de recette</t>
        </is>
      </c>
    </row>
    <row r="2">
      <c r="B2" s="72" t="inlineStr">
        <is>
          <t>Agri-Digit Bénin · plateforme multi-filières d'assistance et de conseil agricole (MAEP / MTDI)</t>
        </is>
      </c>
    </row>
    <row r="3" ht="7.95" customHeight="1" s="73"/>
    <row r="4" ht="22.05" customHeight="1" s="73">
      <c r="B4" s="78" t="inlineStr">
        <is>
          <t>Informations de recette (cases jaunes à compléter)</t>
        </is>
      </c>
      <c r="C4" s="94" t="n"/>
      <c r="D4" s="94" t="n"/>
      <c r="E4" s="94" t="n"/>
      <c r="F4" s="94" t="n"/>
      <c r="G4" s="94" t="n"/>
    </row>
    <row r="5" ht="21" customHeight="1" s="73">
      <c r="B5" s="1" t="inlineStr">
        <is>
          <t>Version du cahier</t>
        </is>
      </c>
      <c r="C5" s="80" t="inlineStr">
        <is>
          <t>1.0 · 28/10/2026</t>
        </is>
      </c>
      <c r="D5" s="95" t="n"/>
      <c r="E5" s="95" t="n"/>
      <c r="F5" s="95" t="n"/>
      <c r="G5" s="96" t="n"/>
    </row>
    <row r="6" ht="21" customHeight="1" s="73">
      <c r="B6" s="1" t="inlineStr">
        <is>
          <t>Version logicielle testée</t>
        </is>
      </c>
      <c r="C6" s="77" t="inlineStr">
        <is>
          <t>ebf6047 (branche main) + modifications locales non commitées (menu par rubriques, cahier de recette)</t>
        </is>
      </c>
      <c r="D6" s="95" t="n"/>
      <c r="E6" s="95" t="n"/>
      <c r="F6" s="95" t="n"/>
      <c r="G6" s="96" t="n"/>
    </row>
    <row r="7" ht="21" customHeight="1" s="73">
      <c r="B7" s="1" t="inlineStr">
        <is>
          <t>Environnement (URL)</t>
        </is>
      </c>
      <c r="C7" s="77" t="inlineStr">
        <is>
          <t>http://localhost:5173 (démonstration locale)</t>
        </is>
      </c>
      <c r="D7" s="95" t="n"/>
      <c r="E7" s="95" t="n"/>
      <c r="F7" s="95" t="n"/>
      <c r="G7" s="96" t="n"/>
    </row>
    <row r="8" ht="21" customHeight="1" s="73">
      <c r="B8" s="1" t="inlineStr">
        <is>
          <t>Navigateur et version</t>
        </is>
      </c>
      <c r="C8" s="77" t="inlineStr">
        <is>
          <t>Chromium (Playwright) pour l'interface ; essais de l'API en Python</t>
        </is>
      </c>
      <c r="D8" s="95" t="n"/>
      <c r="E8" s="95" t="n"/>
      <c r="F8" s="95" t="n"/>
      <c r="G8" s="96" t="n"/>
    </row>
    <row r="9" ht="21" customHeight="1" s="73">
      <c r="B9" s="1" t="inlineStr">
        <is>
          <t>Poste ou appareil</t>
        </is>
      </c>
      <c r="C9" s="77" t="inlineStr">
        <is>
          <t>PC Windows 10, essais automatisés (écran 1280 px, puis 390 px pour le mobile)</t>
        </is>
      </c>
      <c r="D9" s="95" t="n"/>
      <c r="E9" s="95" t="n"/>
      <c r="F9" s="95" t="n"/>
      <c r="G9" s="96" t="n"/>
    </row>
    <row r="10" ht="21" customHeight="1" s="73">
      <c r="B10" s="1" t="inlineStr">
        <is>
          <t>Début de la recette</t>
        </is>
      </c>
      <c r="C10" s="77" t="inlineStr">
        <is>
          <t>28/10/2026</t>
        </is>
      </c>
      <c r="D10" s="95" t="n"/>
      <c r="E10" s="95" t="n"/>
      <c r="F10" s="95" t="n"/>
      <c r="G10" s="96" t="n"/>
    </row>
    <row r="11" ht="21" customHeight="1" s="73">
      <c r="B11" s="1" t="inlineStr">
        <is>
          <t>Fin de la recette</t>
        </is>
      </c>
      <c r="C11" s="77" t="inlineStr">
        <is>
          <t>À renseigner (JJ/MM/AAAA)</t>
        </is>
      </c>
      <c r="D11" s="95" t="n"/>
      <c r="E11" s="95" t="n"/>
      <c r="F11" s="95" t="n"/>
      <c r="G11" s="96" t="n"/>
    </row>
    <row r="12" ht="21" customHeight="1" s="73">
      <c r="B12" s="1" t="inlineStr">
        <is>
          <t>Responsable de la recette</t>
        </is>
      </c>
      <c r="C12" s="77" t="inlineStr">
        <is>
          <t>À renseigner : nom et fonction</t>
        </is>
      </c>
      <c r="D12" s="95" t="n"/>
      <c r="E12" s="95" t="n"/>
      <c r="F12" s="95" t="n"/>
      <c r="G12" s="96" t="n"/>
    </row>
    <row r="14" ht="22.05" customHeight="1" s="73">
      <c r="B14" s="78" t="inlineStr">
        <is>
          <t>Mode d'emploi</t>
        </is>
      </c>
      <c r="C14" s="94" t="n"/>
      <c r="D14" s="94" t="n"/>
      <c r="E14" s="94" t="n"/>
      <c r="F14" s="94" t="n"/>
      <c r="G14" s="94" t="n"/>
    </row>
    <row r="15" ht="33.6" customHeight="1" s="73">
      <c r="B15" s="2" t="inlineStr">
        <is>
          <t>Étape 1</t>
        </is>
      </c>
      <c r="C15" s="74" t="inlineStr">
        <is>
          <t>Lancer l'application (start.bat) et ouvrir http://localhost:5173. Le code de connexion s'affiche dans le bandeau « Simulation » (comptes dans l'onglet « Comptes de test »).</t>
        </is>
      </c>
      <c r="D15" s="95" t="n"/>
      <c r="E15" s="95" t="n"/>
      <c r="F15" s="95" t="n"/>
      <c r="G15" s="96" t="n"/>
    </row>
    <row r="16" ht="33.6" customHeight="1" s="73">
      <c r="B16" s="2" t="inlineStr">
        <is>
          <t>Étape 2</t>
        </is>
      </c>
      <c r="C16" s="74" t="inlineStr">
        <is>
          <t>Dans « Cas de test », filtrer par catégorie, module ou rôle (filtres de la ligne d'en-tête) et dérouler les cas, les P1 d'abord.</t>
        </is>
      </c>
      <c r="D16" s="95" t="n"/>
      <c r="E16" s="95" t="n"/>
      <c r="F16" s="95" t="n"/>
      <c r="G16" s="96" t="n"/>
    </row>
    <row r="17" ht="33.6" customHeight="1" s="73">
      <c r="B17" s="2" t="inlineStr">
        <is>
          <t>Étape 3</t>
        </is>
      </c>
      <c r="C17" s="74" t="inlineStr">
        <is>
          <t>Pour chaque cas : appliquer les pré-conditions, suivre les étapes, comparer le résultat avec « Résultat attendu ».</t>
        </is>
      </c>
      <c r="D17" s="95" t="n"/>
      <c r="E17" s="95" t="n"/>
      <c r="F17" s="95" t="n"/>
      <c r="G17" s="96" t="n"/>
    </row>
    <row r="18" ht="33.6" customHeight="1" s="73">
      <c r="B18" s="2" t="inlineStr">
        <is>
          <t>Étape 4</t>
        </is>
      </c>
      <c r="C18" s="74" t="inlineStr">
        <is>
          <t>Noter ce qui a été observé dans « Résultat obtenu », choisir le Statut dans la liste, puis renseigner Testeur et Date (colonnes sur fond jaune).</t>
        </is>
      </c>
      <c r="D18" s="95" t="n"/>
      <c r="E18" s="95" t="n"/>
      <c r="F18" s="95" t="n"/>
      <c r="G18" s="96" t="n"/>
    </row>
    <row r="19" ht="33.6" customHeight="1" s="73">
      <c r="B19" s="2" t="inlineStr">
        <is>
          <t>Étape 5</t>
        </is>
      </c>
      <c r="C19" s="74" t="inlineStr">
        <is>
          <t>En cas d'écart (KO) : ajouter une ligne dans « Anomalies » (N° ANO-001…) et reporter ce N° dans la colonne « N° anomalie » du cas.</t>
        </is>
      </c>
      <c r="D19" s="95" t="n"/>
      <c r="E19" s="95" t="n"/>
      <c r="F19" s="95" t="n"/>
      <c r="G19" s="96" t="n"/>
    </row>
    <row r="20" ht="33.6" customHeight="1" s="73">
      <c r="B20" s="2" t="inlineStr">
        <is>
          <t>Étape 6</t>
        </is>
      </c>
      <c r="C20" s="74" t="inlineStr">
        <is>
          <t>L'onglet « Synthèse » se met à jour seul : avancement, taux de réussite, anomalies ouvertes et décision de recette.</t>
        </is>
      </c>
      <c r="D20" s="95" t="n"/>
      <c r="E20" s="95" t="n"/>
      <c r="F20" s="95" t="n"/>
      <c r="G20" s="96" t="n"/>
    </row>
    <row r="22" ht="22.05" customHeight="1" s="73">
      <c r="B22" s="78" t="inlineStr">
        <is>
          <t>Légende des statuts</t>
        </is>
      </c>
      <c r="C22" s="94" t="n"/>
      <c r="D22" s="94" t="n"/>
      <c r="E22" s="94" t="n"/>
      <c r="F22" s="94" t="n"/>
      <c r="G22" s="94" t="n"/>
    </row>
    <row r="23" ht="21" customHeight="1" s="73">
      <c r="B23" s="3" t="inlineStr">
        <is>
          <t>À tester</t>
        </is>
      </c>
      <c r="C23" s="74" t="inlineStr">
        <is>
          <t>Pas encore exécuté (valeur par défaut).</t>
        </is>
      </c>
      <c r="D23" s="95" t="n"/>
      <c r="E23" s="95" t="n"/>
      <c r="F23" s="95" t="n"/>
      <c r="G23" s="96" t="n"/>
    </row>
    <row r="24" ht="21" customHeight="1" s="73">
      <c r="B24" s="4" t="inlineStr">
        <is>
          <t>En cours</t>
        </is>
      </c>
      <c r="C24" s="74" t="inlineStr">
        <is>
          <t>Exécution commencée, non terminée.</t>
        </is>
      </c>
      <c r="D24" s="95" t="n"/>
      <c r="E24" s="95" t="n"/>
      <c r="F24" s="95" t="n"/>
      <c r="G24" s="96" t="n"/>
    </row>
    <row r="25" ht="21" customHeight="1" s="73">
      <c r="B25" s="5" t="inlineStr">
        <is>
          <t>OK</t>
        </is>
      </c>
      <c r="C25" s="74" t="inlineStr">
        <is>
          <t>Résultat obtenu conforme au résultat attendu.</t>
        </is>
      </c>
      <c r="D25" s="95" t="n"/>
      <c r="E25" s="95" t="n"/>
      <c r="F25" s="95" t="n"/>
      <c r="G25" s="96" t="n"/>
    </row>
    <row r="26" ht="21" customHeight="1" s="73">
      <c r="B26" s="6" t="inlineStr">
        <is>
          <t>KO</t>
        </is>
      </c>
      <c r="C26" s="74" t="inlineStr">
        <is>
          <t>Écart constaté : créer une ligne dans l'onglet Anomalies et reporter son N°.</t>
        </is>
      </c>
      <c r="D26" s="95" t="n"/>
      <c r="E26" s="95" t="n"/>
      <c r="F26" s="95" t="n"/>
      <c r="G26" s="96" t="n"/>
    </row>
    <row r="27" ht="21" customHeight="1" s="73">
      <c r="B27" s="7" t="inlineStr">
        <is>
          <t>Bloqué</t>
        </is>
      </c>
      <c r="C27" s="74" t="inlineStr">
        <is>
          <t>Test impossible (pré-condition ou dépendance indisponible) : préciser dans Commentaires.</t>
        </is>
      </c>
      <c r="D27" s="95" t="n"/>
      <c r="E27" s="95" t="n"/>
      <c r="F27" s="95" t="n"/>
      <c r="G27" s="96" t="n"/>
    </row>
    <row r="28" ht="21" customHeight="1" s="73">
      <c r="B28" s="8" t="inlineStr">
        <is>
          <t>Non applicable</t>
        </is>
      </c>
      <c r="C28" s="74" t="inlineStr">
        <is>
          <t>Hors périmètre de cette recette : justifier dans Commentaires.</t>
        </is>
      </c>
      <c r="D28" s="95" t="n"/>
      <c r="E28" s="95" t="n"/>
      <c r="F28" s="95" t="n"/>
      <c r="G28" s="96" t="n"/>
    </row>
    <row r="30" ht="22.05" customHeight="1" s="73">
      <c r="B30" s="78" t="inlineStr">
        <is>
          <t>Priorités des cas et gravité des anomalies</t>
        </is>
      </c>
      <c r="C30" s="94" t="n"/>
      <c r="D30" s="94" t="n"/>
      <c r="E30" s="94" t="n"/>
      <c r="F30" s="94" t="n"/>
      <c r="G30" s="94" t="n"/>
    </row>
    <row r="31" ht="21" customHeight="1" s="73">
      <c r="B31" s="9" t="inlineStr">
        <is>
          <t>P1 · Critique</t>
        </is>
      </c>
      <c r="C31" s="74" t="inlineStr">
        <is>
          <t>Parcours indispensable : un KO empêche la validation de la recette.</t>
        </is>
      </c>
      <c r="D31" s="95" t="n"/>
      <c r="E31" s="95" t="n"/>
      <c r="F31" s="95" t="n"/>
      <c r="G31" s="96" t="n"/>
    </row>
    <row r="32" ht="21" customHeight="1" s="73">
      <c r="B32" s="10" t="inlineStr">
        <is>
          <t>P2 · Important</t>
        </is>
      </c>
      <c r="C32" s="74" t="inlineStr">
        <is>
          <t>Fonction attendue : un KO est toléré avec un plan de correction daté.</t>
        </is>
      </c>
      <c r="D32" s="95" t="n"/>
      <c r="E32" s="95" t="n"/>
      <c r="F32" s="95" t="n"/>
      <c r="G32" s="96" t="n"/>
    </row>
    <row r="33" ht="21" customHeight="1" s="73">
      <c r="B33" s="11" t="inlineStr">
        <is>
          <t>P3 · Confort</t>
        </is>
      </c>
      <c r="C33" s="74" t="inlineStr">
        <is>
          <t>Amélioration, cas limite ou écart déjà connu.</t>
        </is>
      </c>
      <c r="D33" s="95" t="n"/>
      <c r="E33" s="95" t="n"/>
      <c r="F33" s="95" t="n"/>
      <c r="G33" s="96" t="n"/>
    </row>
    <row r="34" ht="21" customHeight="1" s="73">
      <c r="B34" s="12" t="inlineStr">
        <is>
          <t>Anomalie bloquante</t>
        </is>
      </c>
      <c r="C34" s="74" t="inlineStr">
        <is>
          <t>Empêche d'utiliser la fonction, ou expose / perd des données.</t>
        </is>
      </c>
      <c r="D34" s="95" t="n"/>
      <c r="E34" s="95" t="n"/>
      <c r="F34" s="95" t="n"/>
      <c r="G34" s="96" t="n"/>
    </row>
    <row r="35" ht="21" customHeight="1" s="73">
      <c r="B35" s="12" t="inlineStr">
        <is>
          <t>Anomalie majeure</t>
        </is>
      </c>
      <c r="C35" s="74" t="inlineStr">
        <is>
          <t>Fonction dégradée, contournement pénible.</t>
        </is>
      </c>
      <c r="D35" s="95" t="n"/>
      <c r="E35" s="95" t="n"/>
      <c r="F35" s="95" t="n"/>
      <c r="G35" s="96" t="n"/>
    </row>
    <row r="36" ht="21" customHeight="1" s="73">
      <c r="B36" s="12" t="inlineStr">
        <is>
          <t>Anomalie mineure</t>
        </is>
      </c>
      <c r="C36" s="74" t="inlineStr">
        <is>
          <t>Gêne limitée.</t>
        </is>
      </c>
      <c r="D36" s="95" t="n"/>
      <c r="E36" s="95" t="n"/>
      <c r="F36" s="95" t="n"/>
      <c r="G36" s="96" t="n"/>
    </row>
    <row r="37" ht="21" customHeight="1" s="73">
      <c r="B37" s="12" t="inlineStr">
        <is>
          <t>Anomalie cosmétique</t>
        </is>
      </c>
      <c r="C37" s="74" t="inlineStr">
        <is>
          <t>Présentation, libellé, alignement.</t>
        </is>
      </c>
      <c r="D37" s="95" t="n"/>
      <c r="E37" s="95" t="n"/>
      <c r="F37" s="95" t="n"/>
      <c r="G37" s="96" t="n"/>
    </row>
    <row r="39" ht="22.05" customHeight="1" s="73">
      <c r="B39" s="78" t="inlineStr">
        <is>
          <t>À savoir avant de tester</t>
        </is>
      </c>
      <c r="C39" s="94" t="n"/>
      <c r="D39" s="94" t="n"/>
      <c r="E39" s="94" t="n"/>
      <c r="F39" s="94" t="n"/>
      <c r="G39" s="94" t="n"/>
    </row>
    <row r="40" ht="33.6" customHeight="1" s="73">
      <c r="B40" s="76" t="inlineStr">
        <is>
          <t>•  Les SMS, l'USSD, l'ANIP, le paiement FakePay et le diagnostic par photo sont simulés : c'est attendu. Le test vérifie que l'écran l'indique (« Simulation », « Démonstration »), pas un résultat réel.</t>
        </is>
      </c>
    </row>
    <row r="41" ht="33.6" customHeight="1" s="73">
      <c r="B41" s="76" t="inlineStr">
        <is>
          <t>•  Chrome est recommandé. Le relief 3D du suivi satellite demande WebGL ; sans clés Copernicus, le satellite reste en démonstration étiquetée.</t>
        </is>
      </c>
    </row>
    <row r="42" ht="33.6" customHeight="1" s="73">
      <c r="B42" s="76" t="inlineStr">
        <is>
          <t>•  Aucun texte en langue nationale (fon, bariba, yoruba, dendi) n'existe tant que le MTDI ne l'a pas écrit : l'assistant répond alors en français et le dit.</t>
        </is>
      </c>
    </row>
    <row r="43" ht="22.05" customHeight="1" s="73">
      <c r="B43" s="76" t="inlineStr">
        <is>
          <t>•  Les pages « Collecte » et « Offres » contiennent des données de démonstration écrites dans le code : écart connu, à tester en P3.</t>
        </is>
      </c>
    </row>
    <row r="44" ht="22.05" customHeight="1" s="73">
      <c r="B44" s="76" t="inlineStr">
        <is>
          <t>•  Les chiffres du tableau de bord sont des données de démonstration : vérifier leur étiquetage et leur source, pas leur exactitude.</t>
        </is>
      </c>
    </row>
    <row r="46" ht="22.05" customHeight="1" s="73">
      <c r="B46" s="78" t="inlineStr">
        <is>
          <t>Exemple de saisie (ne pas recopier)</t>
        </is>
      </c>
      <c r="C46" s="94" t="n"/>
      <c r="D46" s="94" t="n"/>
      <c r="E46" s="94" t="n"/>
      <c r="F46" s="94" t="n"/>
      <c r="G46" s="94" t="n"/>
    </row>
    <row r="47">
      <c r="B47" s="13" t="inlineStr">
        <is>
          <t>Cas</t>
        </is>
      </c>
      <c r="C47" s="13" t="inlineStr">
        <is>
          <t>Résultat obtenu</t>
        </is>
      </c>
      <c r="D47" s="13" t="inlineStr">
        <is>
          <t>Statut</t>
        </is>
      </c>
      <c r="E47" s="13" t="inlineStr">
        <is>
          <t>Testeur</t>
        </is>
      </c>
      <c r="F47" s="13" t="inlineStr">
        <is>
          <t>Date</t>
        </is>
      </c>
      <c r="G47" s="13" t="inlineStr">
        <is>
          <t>N° anomalie</t>
        </is>
      </c>
    </row>
    <row r="48" ht="43.95" customHeight="1" s="73">
      <c r="B48" s="14" t="inlineStr">
        <is>
          <t>GOU-03</t>
        </is>
      </c>
      <c r="C48" s="14" t="inlineStr">
        <is>
          <t>Échéancier de 3 lignes ; paiement réussi après 3 s ; reçu visible.</t>
        </is>
      </c>
      <c r="D48" s="14" t="inlineStr">
        <is>
          <t>OK</t>
        </is>
      </c>
      <c r="E48" s="14" t="inlineStr">
        <is>
          <t>A. Dossou</t>
        </is>
      </c>
      <c r="F48" s="14" t="inlineStr">
        <is>
          <t>29/10/2026</t>
        </is>
      </c>
      <c r="G48" s="14" t="inlineStr">
        <is>
          <t>—</t>
        </is>
      </c>
    </row>
    <row r="50" ht="22.05" customHeight="1" s="73">
      <c r="B50" s="78" t="inlineStr">
        <is>
          <t>Onglets du classeur</t>
        </is>
      </c>
      <c r="C50" s="94" t="n"/>
      <c r="D50" s="94" t="n"/>
      <c r="E50" s="94" t="n"/>
      <c r="F50" s="94" t="n"/>
      <c r="G50" s="94" t="n"/>
    </row>
    <row r="51" ht="21" customHeight="1" s="73">
      <c r="B51" s="15" t="inlineStr">
        <is>
          <t>Synthèse</t>
        </is>
      </c>
      <c r="C51" s="74" t="inlineStr">
        <is>
          <t>Avancement, réussite et décision de recette, par catégorie, module, rôle et priorité.</t>
        </is>
      </c>
      <c r="D51" s="95" t="n"/>
      <c r="E51" s="95" t="n"/>
      <c r="F51" s="95" t="n"/>
      <c r="G51" s="96" t="n"/>
    </row>
    <row r="52" ht="21" customHeight="1" s="73">
      <c r="B52" s="15" t="inlineStr">
        <is>
          <t>Cas de test</t>
        </is>
      </c>
      <c r="C52" s="74" t="inlineStr">
        <is>
          <t>134 cas à exécuter, avec filtres et listes déroulantes ; lignes libres pour en ajouter.</t>
        </is>
      </c>
      <c r="D52" s="95" t="n"/>
      <c r="E52" s="95" t="n"/>
      <c r="F52" s="95" t="n"/>
      <c r="G52" s="96" t="n"/>
    </row>
    <row r="53" ht="21" customHeight="1" s="73">
      <c r="B53" s="15" t="inlineStr">
        <is>
          <t>Anomalies</t>
        </is>
      </c>
      <c r="C53" s="74" t="inlineStr">
        <is>
          <t>Registre des écarts constatés, avec gravité et suivi de correction.</t>
        </is>
      </c>
      <c r="D53" s="95" t="n"/>
      <c r="E53" s="95" t="n"/>
      <c r="F53" s="95" t="n"/>
      <c r="G53" s="96" t="n"/>
    </row>
    <row r="54" ht="21" customHeight="1" s="73">
      <c r="B54" s="15" t="inlineStr">
        <is>
          <t>Comptes de test</t>
        </is>
      </c>
      <c r="C54" s="74" t="inlineStr">
        <is>
          <t>Téléphones, mots de passe et données de démonstration.</t>
        </is>
      </c>
      <c r="D54" s="95" t="n"/>
      <c r="E54" s="95" t="n"/>
      <c r="F54" s="95" t="n"/>
      <c r="G54" s="96" t="n"/>
    </row>
  </sheetData>
  <mergeCells count="45">
    <mergeCell ref="B2:G2"/>
    <mergeCell ref="C34:G34"/>
    <mergeCell ref="B42:G42"/>
    <mergeCell ref="C6:G6"/>
    <mergeCell ref="B14:G14"/>
    <mergeCell ref="C24:G24"/>
    <mergeCell ref="C15:G15"/>
    <mergeCell ref="C33:G33"/>
    <mergeCell ref="B1:G1"/>
    <mergeCell ref="C5:G5"/>
    <mergeCell ref="B44:G44"/>
    <mergeCell ref="C26:G26"/>
    <mergeCell ref="C35:G35"/>
    <mergeCell ref="C20:G20"/>
    <mergeCell ref="C10:G10"/>
    <mergeCell ref="C54:G54"/>
    <mergeCell ref="C16:G16"/>
    <mergeCell ref="C25:G25"/>
    <mergeCell ref="B40:G40"/>
    <mergeCell ref="C31:G31"/>
    <mergeCell ref="B30:G30"/>
    <mergeCell ref="C9:G9"/>
    <mergeCell ref="C12:G12"/>
    <mergeCell ref="B41:G41"/>
    <mergeCell ref="C51:G51"/>
    <mergeCell ref="C11:G11"/>
    <mergeCell ref="C27:G27"/>
    <mergeCell ref="B50:G50"/>
    <mergeCell ref="B4:G4"/>
    <mergeCell ref="C36:G36"/>
    <mergeCell ref="C23:G23"/>
    <mergeCell ref="C52:G52"/>
    <mergeCell ref="C8:G8"/>
    <mergeCell ref="C17:G17"/>
    <mergeCell ref="C7:G7"/>
    <mergeCell ref="B46:G46"/>
    <mergeCell ref="B22:G22"/>
    <mergeCell ref="C32:G32"/>
    <mergeCell ref="C28:G28"/>
    <mergeCell ref="C19:G19"/>
    <mergeCell ref="C37:G37"/>
    <mergeCell ref="B43:G43"/>
    <mergeCell ref="C53:G53"/>
    <mergeCell ref="C18:G18"/>
    <mergeCell ref="B39:G39"/>
  </mergeCells>
  <pageMargins left="0.4" right="0.4" top="1" bottom="1" header="0.5" footer="0.5"/>
  <pageSetup orientation="portrait" paperSize="9" fitToHeight="0"/>
  <headerFooter>
    <oddHeader/>
    <oddFooter>&amp;LAgri-Digit Bénin · Cahier de recette&amp;RPage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FFF2B705"/>
    <outlinePr summaryBelow="1" summaryRight="1"/>
    <pageSetUpPr fitToPage="1"/>
  </sheetPr>
  <dimension ref="B1:K60"/>
  <sheetViews>
    <sheetView showGridLines="0" workbookViewId="0">
      <selection activeCell="A1" sqref="A1"/>
    </sheetView>
  </sheetViews>
  <sheetFormatPr baseColWidth="10" defaultColWidth="8.88671875" defaultRowHeight="14.4"/>
  <cols>
    <col width="3" customWidth="1" style="73" min="1" max="1"/>
    <col width="36" customWidth="1" style="73" min="2" max="2"/>
    <col width="11" customWidth="1" style="73" min="3" max="8"/>
    <col width="14" customWidth="1" style="73" min="9" max="11"/>
  </cols>
  <sheetData>
    <row r="1" ht="37.95" customHeight="1" s="73">
      <c r="B1" s="87" t="inlineStr">
        <is>
          <t>Synthèse de la recette</t>
        </is>
      </c>
    </row>
    <row r="2">
      <c r="B2" s="72" t="inlineStr">
        <is>
          <t>Mise à jour automatique depuis les onglets « Cas de test » et « Anomalies » : ne rien saisir ici.</t>
        </is>
      </c>
    </row>
    <row r="3" ht="7.95" customHeight="1" s="73"/>
    <row r="4" ht="19.95" customHeight="1" s="73">
      <c r="B4" s="81" t="inlineStr">
        <is>
          <t>CAS DE TEST</t>
        </is>
      </c>
      <c r="C4" s="81" t="inlineStr">
        <is>
          <t>AVANCEMENT</t>
        </is>
      </c>
      <c r="D4" s="97" t="n"/>
      <c r="E4" s="97" t="n"/>
      <c r="F4" s="81" t="inlineStr">
        <is>
          <t>TAUX DE RÉUSSITE</t>
        </is>
      </c>
      <c r="G4" s="97" t="n"/>
      <c r="H4" s="81" t="inlineStr">
        <is>
          <t>ANOMALIES OUVERTES</t>
        </is>
      </c>
      <c r="I4" s="97" t="n"/>
      <c r="J4" s="81" t="inlineStr">
        <is>
          <t>DÉCISION</t>
        </is>
      </c>
      <c r="K4" s="97" t="n"/>
    </row>
    <row r="5" ht="46.05" customHeight="1" s="73">
      <c r="B5" s="88">
        <f>COUNTA('Cas de test'!$A$5:$A$300)</f>
        <v>134</v>
      </c>
      <c r="C5" s="85">
        <f>IF(COUNTA('Cas de test'!$A$5:$A$300)-COUNTIF('Cas de test'!$K$5:$K$300,"Non applicable")=0,0,(COUNTIF('Cas de test'!$K$5:$K$300,"OK")+COUNTIF('Cas de test'!$K$5:$K$300,"KO"))/(COUNTA('Cas de test'!$A$5:$A$300)-COUNTIF('Cas de test'!$K$5:$K$300,"Non applicable")))</f>
        <v>0.9104477611940298</v>
      </c>
      <c r="F5" s="85">
        <f>IF(COUNTIF('Cas de test'!$K$5:$K$300,"OK")+COUNTIF('Cas de test'!$K$5:$K$300,"KO")=0,0,COUNTIF('Cas de test'!$K$5:$K$300,"OK")/(COUNTIF('Cas de test'!$K$5:$K$300,"OK")+COUNTIF('Cas de test'!$K$5:$K$300,"KO")))</f>
        <v>1.0</v>
      </c>
      <c r="H5" s="88">
        <f>COUNTIF(Anomalies!$H$5:$H$104,"Ouverte")+COUNTIF(Anomalies!$H$5:$H$104,"En correction")+COUNTIF(Anomalies!$H$5:$H$104,"Corrigée")+COUNTIF(Anomalies!$H$5:$H$104,"À retester")</f>
        <v>3</v>
      </c>
      <c r="J5" s="83" t="str">
        <f>IF(COUNTIFS('Cas de test'!$F$5:$F$300,"P1",'Cas de test'!$K$5:$K$300,"KO")+COUNTIFS('Cas de test'!$F$5:$F$300,"P1",'Cas de test'!$K$5:$K$300,"Bloqué")&gt;0,"NON PRÊT : cas P1 en échec ou bloqués",IF(COUNTIF('Cas de test'!$K$5:$K$300,"À tester")+COUNTIF('Cas de test'!$K$5:$K$300,"En cours")&gt;0,"EN COURS","PRÊT À VALIDER"))</f>
        <v>EN COURS</v>
      </c>
    </row>
    <row r="7" ht="22.05" customHeight="1" s="73">
      <c r="B7" s="78" t="inlineStr">
        <is>
          <t>Par catégorie (modules de la fiche synthétique)</t>
        </is>
      </c>
      <c r="C7" s="94" t="n"/>
      <c r="D7" s="94" t="n"/>
      <c r="E7" s="94" t="n"/>
      <c r="F7" s="94" t="n"/>
      <c r="G7" s="94" t="n"/>
      <c r="H7" s="94" t="n"/>
      <c r="I7" s="94" t="n"/>
      <c r="J7" s="94" t="n"/>
      <c r="K7" s="94" t="n"/>
    </row>
    <row r="8" ht="30" customHeight="1" s="73">
      <c r="B8" s="2" t="inlineStr">
        <is>
          <t>Catégorie</t>
        </is>
      </c>
      <c r="C8" s="18" t="inlineStr">
        <is>
          <t>Total</t>
        </is>
      </c>
      <c r="D8" s="19" t="inlineStr">
        <is>
          <t>À tester</t>
        </is>
      </c>
      <c r="E8" s="20" t="inlineStr">
        <is>
          <t>En cours</t>
        </is>
      </c>
      <c r="F8" s="21" t="inlineStr">
        <is>
          <t>OK</t>
        </is>
      </c>
      <c r="G8" s="22" t="inlineStr">
        <is>
          <t>KO</t>
        </is>
      </c>
      <c r="H8" s="23" t="inlineStr">
        <is>
          <t>Bloqué</t>
        </is>
      </c>
      <c r="I8" s="24" t="inlineStr">
        <is>
          <t>Non applicable</t>
        </is>
      </c>
      <c r="J8" s="18" t="inlineStr">
        <is>
          <t>Avancement</t>
        </is>
      </c>
      <c r="K8" s="18" t="inlineStr">
        <is>
          <t>Réussite</t>
        </is>
      </c>
    </row>
    <row r="9" ht="19.95" customHeight="1" s="73">
      <c r="B9" s="25" t="inlineStr">
        <is>
          <t>Enregistrement</t>
        </is>
      </c>
      <c r="C9" s="26">
        <f>COUNTIFS('Cas de test'!$B$5:$B$300,$B9)</f>
        <v>25</v>
      </c>
      <c r="D9" s="27">
        <f>COUNTIFS('Cas de test'!$B$5:$B$300,$B9,'Cas de test'!$K$5:$K$300,D$8)</f>
        <v>0</v>
      </c>
      <c r="E9" s="27">
        <f>COUNTIFS('Cas de test'!$B$5:$B$300,$B9,'Cas de test'!$K$5:$K$300,E$8)</f>
        <v>2</v>
      </c>
      <c r="F9" s="27">
        <f>COUNTIFS('Cas de test'!$B$5:$B$300,$B9,'Cas de test'!$K$5:$K$300,F$8)</f>
        <v>23</v>
      </c>
      <c r="G9" s="27">
        <f>COUNTIFS('Cas de test'!$B$5:$B$300,$B9,'Cas de test'!$K$5:$K$300,G$8)</f>
        <v>0</v>
      </c>
      <c r="H9" s="27">
        <f>COUNTIFS('Cas de test'!$B$5:$B$300,$B9,'Cas de test'!$K$5:$K$300,H$8)</f>
        <v>0</v>
      </c>
      <c r="I9" s="27">
        <f>COUNTIFS('Cas de test'!$B$5:$B$300,$B9,'Cas de test'!$K$5:$K$300,I$8)</f>
        <v>0</v>
      </c>
      <c r="J9" s="28">
        <f>IF(C9-I9=0,0,(F9+G9)/(C9-I9))</f>
        <v>0.92</v>
      </c>
      <c r="K9" s="28">
        <f>IF(F9+G9=0,0,F9/(F9+G9))</f>
        <v>1.0</v>
      </c>
    </row>
    <row r="10" ht="19.95" customHeight="1" s="73">
      <c r="B10" s="29" t="inlineStr">
        <is>
          <t>Suivi</t>
        </is>
      </c>
      <c r="C10" s="26">
        <f>COUNTIFS('Cas de test'!$B$5:$B$300,$B10)</f>
        <v>27</v>
      </c>
      <c r="D10" s="27">
        <f>COUNTIFS('Cas de test'!$B$5:$B$300,$B10,'Cas de test'!$K$5:$K$300,D$8)</f>
        <v>0</v>
      </c>
      <c r="E10" s="27">
        <f>COUNTIFS('Cas de test'!$B$5:$B$300,$B10,'Cas de test'!$K$5:$K$300,E$8)</f>
        <v>0</v>
      </c>
      <c r="F10" s="27">
        <f>COUNTIFS('Cas de test'!$B$5:$B$300,$B10,'Cas de test'!$K$5:$K$300,F$8)</f>
        <v>27</v>
      </c>
      <c r="G10" s="27">
        <f>COUNTIFS('Cas de test'!$B$5:$B$300,$B10,'Cas de test'!$K$5:$K$300,G$8)</f>
        <v>0</v>
      </c>
      <c r="H10" s="27">
        <f>COUNTIFS('Cas de test'!$B$5:$B$300,$B10,'Cas de test'!$K$5:$K$300,H$8)</f>
        <v>0</v>
      </c>
      <c r="I10" s="27">
        <f>COUNTIFS('Cas de test'!$B$5:$B$300,$B10,'Cas de test'!$K$5:$K$300,I$8)</f>
        <v>0</v>
      </c>
      <c r="J10" s="28">
        <f>IF(C10-I10=0,0,(F10+G10)/(C10-I10))</f>
        <v>1.0</v>
      </c>
      <c r="K10" s="28">
        <f>IF(F10+G10=0,0,F10/(F10+G10))</f>
        <v>1.0</v>
      </c>
    </row>
    <row r="11" ht="19.95" customHeight="1" s="73">
      <c r="B11" s="30" t="inlineStr">
        <is>
          <t>Intelligence artificielle</t>
        </is>
      </c>
      <c r="C11" s="26">
        <f>COUNTIFS('Cas de test'!$B$5:$B$300,$B11)</f>
        <v>25</v>
      </c>
      <c r="D11" s="27">
        <f>COUNTIFS('Cas de test'!$B$5:$B$300,$B11,'Cas de test'!$K$5:$K$300,D$8)</f>
        <v>0</v>
      </c>
      <c r="E11" s="27">
        <f>COUNTIFS('Cas de test'!$B$5:$B$300,$B11,'Cas de test'!$K$5:$K$300,E$8)</f>
        <v>6</v>
      </c>
      <c r="F11" s="27">
        <f>COUNTIFS('Cas de test'!$B$5:$B$300,$B11,'Cas de test'!$K$5:$K$300,F$8)</f>
        <v>19</v>
      </c>
      <c r="G11" s="27">
        <f>COUNTIFS('Cas de test'!$B$5:$B$300,$B11,'Cas de test'!$K$5:$K$300,G$8)</f>
        <v>0</v>
      </c>
      <c r="H11" s="27">
        <f>COUNTIFS('Cas de test'!$B$5:$B$300,$B11,'Cas de test'!$K$5:$K$300,H$8)</f>
        <v>0</v>
      </c>
      <c r="I11" s="27">
        <f>COUNTIFS('Cas de test'!$B$5:$B$300,$B11,'Cas de test'!$K$5:$K$300,I$8)</f>
        <v>0</v>
      </c>
      <c r="J11" s="28">
        <f>IF(C11-I11=0,0,(F11+G11)/(C11-I11))</f>
        <v>0.76</v>
      </c>
      <c r="K11" s="28">
        <f>IF(F11+G11=0,0,F11/(F11+G11))</f>
        <v>1.0</v>
      </c>
    </row>
    <row r="12" ht="19.95" customHeight="1" s="73">
      <c r="B12" s="31" t="inlineStr">
        <is>
          <t>Marketplace</t>
        </is>
      </c>
      <c r="C12" s="26">
        <f>COUNTIFS('Cas de test'!$B$5:$B$300,$B12)</f>
        <v>15</v>
      </c>
      <c r="D12" s="27">
        <f>COUNTIFS('Cas de test'!$B$5:$B$300,$B12,'Cas de test'!$K$5:$K$300,D$8)</f>
        <v>0</v>
      </c>
      <c r="E12" s="27">
        <f>COUNTIFS('Cas de test'!$B$5:$B$300,$B12,'Cas de test'!$K$5:$K$300,E$8)</f>
        <v>1</v>
      </c>
      <c r="F12" s="27">
        <f>COUNTIFS('Cas de test'!$B$5:$B$300,$B12,'Cas de test'!$K$5:$K$300,F$8)</f>
        <v>13</v>
      </c>
      <c r="G12" s="27">
        <f>COUNTIFS('Cas de test'!$B$5:$B$300,$B12,'Cas de test'!$K$5:$K$300,G$8)</f>
        <v>0</v>
      </c>
      <c r="H12" s="27">
        <f>COUNTIFS('Cas de test'!$B$5:$B$300,$B12,'Cas de test'!$K$5:$K$300,H$8)</f>
        <v>1</v>
      </c>
      <c r="I12" s="27">
        <f>COUNTIFS('Cas de test'!$B$5:$B$300,$B12,'Cas de test'!$K$5:$K$300,I$8)</f>
        <v>0</v>
      </c>
      <c r="J12" s="28">
        <f>IF(C12-I12=0,0,(F12+G12)/(C12-I12))</f>
        <v>0.8666666666666667</v>
      </c>
      <c r="K12" s="28">
        <f>IF(F12+G12=0,0,F12/(F12+G12))</f>
        <v>1.0</v>
      </c>
    </row>
    <row r="13" ht="19.95" customHeight="1" s="73">
      <c r="B13" s="32" t="inlineStr">
        <is>
          <t>Transverse</t>
        </is>
      </c>
      <c r="C13" s="26">
        <f>COUNTIFS('Cas de test'!$B$5:$B$300,$B13)</f>
        <v>42</v>
      </c>
      <c r="D13" s="27">
        <f>COUNTIFS('Cas de test'!$B$5:$B$300,$B13,'Cas de test'!$K$5:$K$300,D$8)</f>
        <v>2</v>
      </c>
      <c r="E13" s="27">
        <f>COUNTIFS('Cas de test'!$B$5:$B$300,$B13,'Cas de test'!$K$5:$K$300,E$8)</f>
        <v>0</v>
      </c>
      <c r="F13" s="27">
        <f>COUNTIFS('Cas de test'!$B$5:$B$300,$B13,'Cas de test'!$K$5:$K$300,F$8)</f>
        <v>40</v>
      </c>
      <c r="G13" s="27">
        <f>COUNTIFS('Cas de test'!$B$5:$B$300,$B13,'Cas de test'!$K$5:$K$300,G$8)</f>
        <v>0</v>
      </c>
      <c r="H13" s="27">
        <f>COUNTIFS('Cas de test'!$B$5:$B$300,$B13,'Cas de test'!$K$5:$K$300,H$8)</f>
        <v>0</v>
      </c>
      <c r="I13" s="27">
        <f>COUNTIFS('Cas de test'!$B$5:$B$300,$B13,'Cas de test'!$K$5:$K$300,I$8)</f>
        <v>0</v>
      </c>
      <c r="J13" s="28">
        <f>IF(C13-I13=0,0,(F13+G13)/(C13-I13))</f>
        <v>0.9523809523809523</v>
      </c>
      <c r="K13" s="28">
        <f>IF(F13+G13=0,0,F13/(F13+G13))</f>
        <v>1.0</v>
      </c>
    </row>
    <row r="14" ht="19.95" customHeight="1" s="73">
      <c r="B14" s="33" t="inlineStr">
        <is>
          <t>Total</t>
        </is>
      </c>
      <c r="C14" s="34">
        <f>SUM(C9:C13)</f>
        <v>134</v>
      </c>
      <c r="D14" s="34">
        <f>SUM(D9:D13)</f>
        <v>2</v>
      </c>
      <c r="E14" s="34">
        <f>SUM(E9:E13)</f>
        <v>9</v>
      </c>
      <c r="F14" s="34">
        <f>SUM(F9:F13)</f>
        <v>122</v>
      </c>
      <c r="G14" s="34">
        <f>SUM(G9:G13)</f>
        <v>0</v>
      </c>
      <c r="H14" s="34">
        <f>SUM(H9:H13)</f>
        <v>1</v>
      </c>
      <c r="I14" s="34">
        <f>SUM(I9:I13)</f>
        <v>0</v>
      </c>
      <c r="J14" s="35">
        <f>IF(C14-I14=0,0,(F14+G14)/(C14-I14))</f>
        <v>0.9104477611940298</v>
      </c>
      <c r="K14" s="35">
        <f>IF(F14+G14=0,0,F14/(F14+G14))</f>
        <v>1.0</v>
      </c>
    </row>
    <row r="16" ht="22.05" customHeight="1" s="73">
      <c r="B16" s="78" t="inlineStr">
        <is>
          <t>Par module</t>
        </is>
      </c>
      <c r="C16" s="94" t="n"/>
      <c r="D16" s="94" t="n"/>
      <c r="E16" s="94" t="n"/>
      <c r="F16" s="94" t="n"/>
      <c r="G16" s="94" t="n"/>
      <c r="H16" s="94" t="n"/>
      <c r="I16" s="94" t="n"/>
      <c r="J16" s="94" t="n"/>
      <c r="K16" s="94" t="n"/>
    </row>
    <row r="17" ht="30" customHeight="1" s="73">
      <c r="B17" s="2" t="inlineStr">
        <is>
          <t>Module</t>
        </is>
      </c>
      <c r="C17" s="18" t="inlineStr">
        <is>
          <t>Total</t>
        </is>
      </c>
      <c r="D17" s="19" t="inlineStr">
        <is>
          <t>À tester</t>
        </is>
      </c>
      <c r="E17" s="20" t="inlineStr">
        <is>
          <t>En cours</t>
        </is>
      </c>
      <c r="F17" s="21" t="inlineStr">
        <is>
          <t>OK</t>
        </is>
      </c>
      <c r="G17" s="22" t="inlineStr">
        <is>
          <t>KO</t>
        </is>
      </c>
      <c r="H17" s="23" t="inlineStr">
        <is>
          <t>Bloqué</t>
        </is>
      </c>
      <c r="I17" s="24" t="inlineStr">
        <is>
          <t>Non applicable</t>
        </is>
      </c>
      <c r="J17" s="18" t="inlineStr">
        <is>
          <t>Avancement</t>
        </is>
      </c>
      <c r="K17" s="18" t="inlineStr">
        <is>
          <t>Réussite</t>
        </is>
      </c>
    </row>
    <row r="18" ht="19.95" customHeight="1" s="73">
      <c r="B18" s="36" t="inlineStr">
        <is>
          <t>Registre acteurs et actifs</t>
        </is>
      </c>
      <c r="C18" s="26">
        <f>COUNTIFS('Cas de test'!$C$5:$C$300,$B18)</f>
        <v>16</v>
      </c>
      <c r="D18" s="27">
        <f>COUNTIFS('Cas de test'!$C$5:$C$300,$B18,'Cas de test'!$K$5:$K$300,D$17)</f>
        <v>0</v>
      </c>
      <c r="E18" s="27">
        <f>COUNTIFS('Cas de test'!$C$5:$C$300,$B18,'Cas de test'!$K$5:$K$300,E$17)</f>
        <v>0</v>
      </c>
      <c r="F18" s="27">
        <f>COUNTIFS('Cas de test'!$C$5:$C$300,$B18,'Cas de test'!$K$5:$K$300,F$17)</f>
        <v>16</v>
      </c>
      <c r="G18" s="27">
        <f>COUNTIFS('Cas de test'!$C$5:$C$300,$B18,'Cas de test'!$K$5:$K$300,G$17)</f>
        <v>0</v>
      </c>
      <c r="H18" s="27">
        <f>COUNTIFS('Cas de test'!$C$5:$C$300,$B18,'Cas de test'!$K$5:$K$300,H$17)</f>
        <v>0</v>
      </c>
      <c r="I18" s="27">
        <f>COUNTIFS('Cas de test'!$C$5:$C$300,$B18,'Cas de test'!$K$5:$K$300,I$17)</f>
        <v>0</v>
      </c>
      <c r="J18" s="28">
        <f>IF(C18-I18=0,0,(F18+G18)/(C18-I18))</f>
        <v>1.0</v>
      </c>
      <c r="K18" s="28">
        <f>IF(F18+G18=0,0,F18/(F18+G18))</f>
        <v>1.0</v>
      </c>
    </row>
    <row r="19" ht="19.95" customHeight="1" s="73">
      <c r="B19" s="36" t="inlineStr">
        <is>
          <t>Cartographie GPS parcellaire</t>
        </is>
      </c>
      <c r="C19" s="26">
        <f>COUNTIFS('Cas de test'!$C$5:$C$300,$B19)</f>
        <v>9</v>
      </c>
      <c r="D19" s="27">
        <f>COUNTIFS('Cas de test'!$C$5:$C$300,$B19,'Cas de test'!$K$5:$K$300,D$17)</f>
        <v>0</v>
      </c>
      <c r="E19" s="27">
        <f>COUNTIFS('Cas de test'!$C$5:$C$300,$B19,'Cas de test'!$K$5:$K$300,E$17)</f>
        <v>2</v>
      </c>
      <c r="F19" s="27">
        <f>COUNTIFS('Cas de test'!$C$5:$C$300,$B19,'Cas de test'!$K$5:$K$300,F$17)</f>
        <v>7</v>
      </c>
      <c r="G19" s="27">
        <f>COUNTIFS('Cas de test'!$C$5:$C$300,$B19,'Cas de test'!$K$5:$K$300,G$17)</f>
        <v>0</v>
      </c>
      <c r="H19" s="27">
        <f>COUNTIFS('Cas de test'!$C$5:$C$300,$B19,'Cas de test'!$K$5:$K$300,H$17)</f>
        <v>0</v>
      </c>
      <c r="I19" s="27">
        <f>COUNTIFS('Cas de test'!$C$5:$C$300,$B19,'Cas de test'!$K$5:$K$300,I$17)</f>
        <v>0</v>
      </c>
      <c r="J19" s="28">
        <f>IF(C19-I19=0,0,(F19+G19)/(C19-I19))</f>
        <v>0.7777777777777778</v>
      </c>
      <c r="K19" s="28">
        <f>IF(F19+G19=0,0,F19/(F19+G19))</f>
        <v>1.0</v>
      </c>
    </row>
    <row r="20" ht="19.95" customHeight="1" s="73">
      <c r="B20" s="36" t="inlineStr">
        <is>
          <t>Suivi production et filières</t>
        </is>
      </c>
      <c r="C20" s="26">
        <f>COUNTIFS('Cas de test'!$C$5:$C$300,$B20)</f>
        <v>9</v>
      </c>
      <c r="D20" s="27">
        <f>COUNTIFS('Cas de test'!$C$5:$C$300,$B20,'Cas de test'!$K$5:$K$300,D$17)</f>
        <v>0</v>
      </c>
      <c r="E20" s="27">
        <f>COUNTIFS('Cas de test'!$C$5:$C$300,$B20,'Cas de test'!$K$5:$K$300,E$17)</f>
        <v>0</v>
      </c>
      <c r="F20" s="27">
        <f>COUNTIFS('Cas de test'!$C$5:$C$300,$B20,'Cas de test'!$K$5:$K$300,F$17)</f>
        <v>9</v>
      </c>
      <c r="G20" s="27">
        <f>COUNTIFS('Cas de test'!$C$5:$C$300,$B20,'Cas de test'!$K$5:$K$300,G$17)</f>
        <v>0</v>
      </c>
      <c r="H20" s="27">
        <f>COUNTIFS('Cas de test'!$C$5:$C$300,$B20,'Cas de test'!$K$5:$K$300,H$17)</f>
        <v>0</v>
      </c>
      <c r="I20" s="27">
        <f>COUNTIFS('Cas de test'!$C$5:$C$300,$B20,'Cas de test'!$K$5:$K$300,I$17)</f>
        <v>0</v>
      </c>
      <c r="J20" s="28">
        <f>IF(C20-I20=0,0,(F20+G20)/(C20-I20))</f>
        <v>1.0</v>
      </c>
      <c r="K20" s="28">
        <f>IF(F20+G20=0,0,F20/(F20+G20))</f>
        <v>1.0</v>
      </c>
    </row>
    <row r="21" ht="19.95" customHeight="1" s="73">
      <c r="B21" s="36" t="inlineStr">
        <is>
          <t>Gouvernance et appuis</t>
        </is>
      </c>
      <c r="C21" s="26">
        <f>COUNTIFS('Cas de test'!$C$5:$C$300,$B21)</f>
        <v>12</v>
      </c>
      <c r="D21" s="27">
        <f>COUNTIFS('Cas de test'!$C$5:$C$300,$B21,'Cas de test'!$K$5:$K$300,D$17)</f>
        <v>0</v>
      </c>
      <c r="E21" s="27">
        <f>COUNTIFS('Cas de test'!$C$5:$C$300,$B21,'Cas de test'!$K$5:$K$300,E$17)</f>
        <v>0</v>
      </c>
      <c r="F21" s="27">
        <f>COUNTIFS('Cas de test'!$C$5:$C$300,$B21,'Cas de test'!$K$5:$K$300,F$17)</f>
        <v>12</v>
      </c>
      <c r="G21" s="27">
        <f>COUNTIFS('Cas de test'!$C$5:$C$300,$B21,'Cas de test'!$K$5:$K$300,G$17)</f>
        <v>0</v>
      </c>
      <c r="H21" s="27">
        <f>COUNTIFS('Cas de test'!$C$5:$C$300,$B21,'Cas de test'!$K$5:$K$300,H$17)</f>
        <v>0</v>
      </c>
      <c r="I21" s="27">
        <f>COUNTIFS('Cas de test'!$C$5:$C$300,$B21,'Cas de test'!$K$5:$K$300,I$17)</f>
        <v>0</v>
      </c>
      <c r="J21" s="28">
        <f>IF(C21-I21=0,0,(F21+G21)/(C21-I21))</f>
        <v>1.0</v>
      </c>
      <c r="K21" s="28">
        <f>IF(F21+G21=0,0,F21/(F21+G21))</f>
        <v>1.0</v>
      </c>
    </row>
    <row r="22" ht="19.95" customHeight="1" s="73">
      <c r="B22" s="36" t="inlineStr">
        <is>
          <t>Dashboard et suivi-évaluation</t>
        </is>
      </c>
      <c r="C22" s="26">
        <f>COUNTIFS('Cas de test'!$C$5:$C$300,$B22)</f>
        <v>6</v>
      </c>
      <c r="D22" s="27">
        <f>COUNTIFS('Cas de test'!$C$5:$C$300,$B22,'Cas de test'!$K$5:$K$300,D$17)</f>
        <v>0</v>
      </c>
      <c r="E22" s="27">
        <f>COUNTIFS('Cas de test'!$C$5:$C$300,$B22,'Cas de test'!$K$5:$K$300,E$17)</f>
        <v>0</v>
      </c>
      <c r="F22" s="27">
        <f>COUNTIFS('Cas de test'!$C$5:$C$300,$B22,'Cas de test'!$K$5:$K$300,F$17)</f>
        <v>6</v>
      </c>
      <c r="G22" s="27">
        <f>COUNTIFS('Cas de test'!$C$5:$C$300,$B22,'Cas de test'!$K$5:$K$300,G$17)</f>
        <v>0</v>
      </c>
      <c r="H22" s="27">
        <f>COUNTIFS('Cas de test'!$C$5:$C$300,$B22,'Cas de test'!$K$5:$K$300,H$17)</f>
        <v>0</v>
      </c>
      <c r="I22" s="27">
        <f>COUNTIFS('Cas de test'!$C$5:$C$300,$B22,'Cas de test'!$K$5:$K$300,I$17)</f>
        <v>0</v>
      </c>
      <c r="J22" s="28">
        <f>IF(C22-I22=0,0,(F22+G22)/(C22-I22))</f>
        <v>1.0</v>
      </c>
      <c r="K22" s="28">
        <f>IF(F22+G22=0,0,F22/(F22+G22))</f>
        <v>1.0</v>
      </c>
    </row>
    <row r="23" ht="19.95" customHeight="1" s="73">
      <c r="B23" s="36" t="inlineStr">
        <is>
          <t>Assistant IA agronomique</t>
        </is>
      </c>
      <c r="C23" s="26">
        <f>COUNTIFS('Cas de test'!$C$5:$C$300,$B23)</f>
        <v>6</v>
      </c>
      <c r="D23" s="27">
        <f>COUNTIFS('Cas de test'!$C$5:$C$300,$B23,'Cas de test'!$K$5:$K$300,D$17)</f>
        <v>0</v>
      </c>
      <c r="E23" s="27">
        <f>COUNTIFS('Cas de test'!$C$5:$C$300,$B23,'Cas de test'!$K$5:$K$300,E$17)</f>
        <v>2</v>
      </c>
      <c r="F23" s="27">
        <f>COUNTIFS('Cas de test'!$C$5:$C$300,$B23,'Cas de test'!$K$5:$K$300,F$17)</f>
        <v>4</v>
      </c>
      <c r="G23" s="27">
        <f>COUNTIFS('Cas de test'!$C$5:$C$300,$B23,'Cas de test'!$K$5:$K$300,G$17)</f>
        <v>0</v>
      </c>
      <c r="H23" s="27">
        <f>COUNTIFS('Cas de test'!$C$5:$C$300,$B23,'Cas de test'!$K$5:$K$300,H$17)</f>
        <v>0</v>
      </c>
      <c r="I23" s="27">
        <f>COUNTIFS('Cas de test'!$C$5:$C$300,$B23,'Cas de test'!$K$5:$K$300,I$17)</f>
        <v>0</v>
      </c>
      <c r="J23" s="28">
        <f>IF(C23-I23=0,0,(F23+G23)/(C23-I23))</f>
        <v>0.6666666666666666</v>
      </c>
      <c r="K23" s="28">
        <f>IF(F23+G23=0,0,F23/(F23+G23))</f>
        <v>1.0</v>
      </c>
    </row>
    <row r="24" ht="19.95" customHeight="1" s="73">
      <c r="B24" s="36" t="inlineStr">
        <is>
          <t>Module linguistique (langues nationales)</t>
        </is>
      </c>
      <c r="C24" s="26">
        <f>COUNTIFS('Cas de test'!$C$5:$C$300,$B24)</f>
        <v>6</v>
      </c>
      <c r="D24" s="27">
        <f>COUNTIFS('Cas de test'!$C$5:$C$300,$B24,'Cas de test'!$K$5:$K$300,D$17)</f>
        <v>0</v>
      </c>
      <c r="E24" s="27">
        <f>COUNTIFS('Cas de test'!$C$5:$C$300,$B24,'Cas de test'!$K$5:$K$300,E$17)</f>
        <v>2</v>
      </c>
      <c r="F24" s="27">
        <f>COUNTIFS('Cas de test'!$C$5:$C$300,$B24,'Cas de test'!$K$5:$K$300,F$17)</f>
        <v>4</v>
      </c>
      <c r="G24" s="27">
        <f>COUNTIFS('Cas de test'!$C$5:$C$300,$B24,'Cas de test'!$K$5:$K$300,G$17)</f>
        <v>0</v>
      </c>
      <c r="H24" s="27">
        <f>COUNTIFS('Cas de test'!$C$5:$C$300,$B24,'Cas de test'!$K$5:$K$300,H$17)</f>
        <v>0</v>
      </c>
      <c r="I24" s="27">
        <f>COUNTIFS('Cas de test'!$C$5:$C$300,$B24,'Cas de test'!$K$5:$K$300,I$17)</f>
        <v>0</v>
      </c>
      <c r="J24" s="28">
        <f>IF(C24-I24=0,0,(F24+G24)/(C24-I24))</f>
        <v>0.6666666666666666</v>
      </c>
      <c r="K24" s="28">
        <f>IF(F24+G24=0,0,F24/(F24+G24))</f>
        <v>1.0</v>
      </c>
    </row>
    <row r="25" ht="19.95" customHeight="1" s="73">
      <c r="B25" s="36" t="inlineStr">
        <is>
          <t>Diagnostic phytosanitaire par image</t>
        </is>
      </c>
      <c r="C25" s="26">
        <f>COUNTIFS('Cas de test'!$C$5:$C$300,$B25)</f>
        <v>6</v>
      </c>
      <c r="D25" s="27">
        <f>COUNTIFS('Cas de test'!$C$5:$C$300,$B25,'Cas de test'!$K$5:$K$300,D$17)</f>
        <v>0</v>
      </c>
      <c r="E25" s="27">
        <f>COUNTIFS('Cas de test'!$C$5:$C$300,$B25,'Cas de test'!$K$5:$K$300,E$17)</f>
        <v>1</v>
      </c>
      <c r="F25" s="27">
        <f>COUNTIFS('Cas de test'!$C$5:$C$300,$B25,'Cas de test'!$K$5:$K$300,F$17)</f>
        <v>5</v>
      </c>
      <c r="G25" s="27">
        <f>COUNTIFS('Cas de test'!$C$5:$C$300,$B25,'Cas de test'!$K$5:$K$300,G$17)</f>
        <v>0</v>
      </c>
      <c r="H25" s="27">
        <f>COUNTIFS('Cas de test'!$C$5:$C$300,$B25,'Cas de test'!$K$5:$K$300,H$17)</f>
        <v>0</v>
      </c>
      <c r="I25" s="27">
        <f>COUNTIFS('Cas de test'!$C$5:$C$300,$B25,'Cas de test'!$K$5:$K$300,I$17)</f>
        <v>0</v>
      </c>
      <c r="J25" s="28">
        <f>IF(C25-I25=0,0,(F25+G25)/(C25-I25))</f>
        <v>0.8333333333333334</v>
      </c>
      <c r="K25" s="28">
        <f>IF(F25+G25=0,0,F25/(F25+G25))</f>
        <v>1.0</v>
      </c>
    </row>
    <row r="26" ht="19.95" customHeight="1" s="73">
      <c r="B26" s="36" t="inlineStr">
        <is>
          <t>Scoring crédit et aléas climatiques</t>
        </is>
      </c>
      <c r="C26" s="26">
        <f>COUNTIFS('Cas de test'!$C$5:$C$300,$B26)</f>
        <v>7</v>
      </c>
      <c r="D26" s="27">
        <f>COUNTIFS('Cas de test'!$C$5:$C$300,$B26,'Cas de test'!$K$5:$K$300,D$17)</f>
        <v>0</v>
      </c>
      <c r="E26" s="27">
        <f>COUNTIFS('Cas de test'!$C$5:$C$300,$B26,'Cas de test'!$K$5:$K$300,E$17)</f>
        <v>1</v>
      </c>
      <c r="F26" s="27">
        <f>COUNTIFS('Cas de test'!$C$5:$C$300,$B26,'Cas de test'!$K$5:$K$300,F$17)</f>
        <v>6</v>
      </c>
      <c r="G26" s="27">
        <f>COUNTIFS('Cas de test'!$C$5:$C$300,$B26,'Cas de test'!$K$5:$K$300,G$17)</f>
        <v>0</v>
      </c>
      <c r="H26" s="27">
        <f>COUNTIFS('Cas de test'!$C$5:$C$300,$B26,'Cas de test'!$K$5:$K$300,H$17)</f>
        <v>0</v>
      </c>
      <c r="I26" s="27">
        <f>COUNTIFS('Cas de test'!$C$5:$C$300,$B26,'Cas de test'!$K$5:$K$300,I$17)</f>
        <v>0</v>
      </c>
      <c r="J26" s="28">
        <f>IF(C26-I26=0,0,(F26+G26)/(C26-I26))</f>
        <v>0.8571428571428571</v>
      </c>
      <c r="K26" s="28">
        <f>IF(F26+G26=0,0,F26/(F26+G26))</f>
        <v>1.0</v>
      </c>
    </row>
    <row r="27" ht="19.95" customHeight="1" s="73">
      <c r="B27" s="36" t="inlineStr">
        <is>
          <t>Valorisation des produits</t>
        </is>
      </c>
      <c r="C27" s="26">
        <f>COUNTIFS('Cas de test'!$C$5:$C$300,$B27)</f>
        <v>11</v>
      </c>
      <c r="D27" s="27">
        <f>COUNTIFS('Cas de test'!$C$5:$C$300,$B27,'Cas de test'!$K$5:$K$300,D$17)</f>
        <v>0</v>
      </c>
      <c r="E27" s="27">
        <f>COUNTIFS('Cas de test'!$C$5:$C$300,$B27,'Cas de test'!$K$5:$K$300,E$17)</f>
        <v>1</v>
      </c>
      <c r="F27" s="27">
        <f>COUNTIFS('Cas de test'!$C$5:$C$300,$B27,'Cas de test'!$K$5:$K$300,F$17)</f>
        <v>9</v>
      </c>
      <c r="G27" s="27">
        <f>COUNTIFS('Cas de test'!$C$5:$C$300,$B27,'Cas de test'!$K$5:$K$300,G$17)</f>
        <v>0</v>
      </c>
      <c r="H27" s="27">
        <f>COUNTIFS('Cas de test'!$C$5:$C$300,$B27,'Cas de test'!$K$5:$K$300,H$17)</f>
        <v>1</v>
      </c>
      <c r="I27" s="27">
        <f>COUNTIFS('Cas de test'!$C$5:$C$300,$B27,'Cas de test'!$K$5:$K$300,I$17)</f>
        <v>0</v>
      </c>
      <c r="J27" s="28">
        <f>IF(C27-I27=0,0,(F27+G27)/(C27-I27))</f>
        <v>0.8181818181818182</v>
      </c>
      <c r="K27" s="28">
        <f>IF(F27+G27=0,0,F27/(F27+G27))</f>
        <v>1.0</v>
      </c>
    </row>
    <row r="28" ht="19.95" customHeight="1" s="73">
      <c r="B28" s="36" t="inlineStr">
        <is>
          <t>Services partenaires (fintech)</t>
        </is>
      </c>
      <c r="C28" s="26">
        <f>COUNTIFS('Cas de test'!$C$5:$C$300,$B28)</f>
        <v>4</v>
      </c>
      <c r="D28" s="27">
        <f>COUNTIFS('Cas de test'!$C$5:$C$300,$B28,'Cas de test'!$K$5:$K$300,D$17)</f>
        <v>0</v>
      </c>
      <c r="E28" s="27">
        <f>COUNTIFS('Cas de test'!$C$5:$C$300,$B28,'Cas de test'!$K$5:$K$300,E$17)</f>
        <v>0</v>
      </c>
      <c r="F28" s="27">
        <f>COUNTIFS('Cas de test'!$C$5:$C$300,$B28,'Cas de test'!$K$5:$K$300,F$17)</f>
        <v>4</v>
      </c>
      <c r="G28" s="27">
        <f>COUNTIFS('Cas de test'!$C$5:$C$300,$B28,'Cas de test'!$K$5:$K$300,G$17)</f>
        <v>0</v>
      </c>
      <c r="H28" s="27">
        <f>COUNTIFS('Cas de test'!$C$5:$C$300,$B28,'Cas de test'!$K$5:$K$300,H$17)</f>
        <v>0</v>
      </c>
      <c r="I28" s="27">
        <f>COUNTIFS('Cas de test'!$C$5:$C$300,$B28,'Cas de test'!$K$5:$K$300,I$17)</f>
        <v>0</v>
      </c>
      <c r="J28" s="28">
        <f>IF(C28-I28=0,0,(F28+G28)/(C28-I28))</f>
        <v>1.0</v>
      </c>
      <c r="K28" s="28">
        <f>IF(F28+G28=0,0,F28/(F28+G28))</f>
        <v>1.0</v>
      </c>
    </row>
    <row r="29" ht="19.95" customHeight="1" s="73">
      <c r="B29" s="36" t="inlineStr">
        <is>
          <t>Connexion et comptes</t>
        </is>
      </c>
      <c r="C29" s="26">
        <f>COUNTIFS('Cas de test'!$C$5:$C$300,$B29)</f>
        <v>9</v>
      </c>
      <c r="D29" s="27">
        <f>COUNTIFS('Cas de test'!$C$5:$C$300,$B29,'Cas de test'!$K$5:$K$300,D$17)</f>
        <v>0</v>
      </c>
      <c r="E29" s="27">
        <f>COUNTIFS('Cas de test'!$C$5:$C$300,$B29,'Cas de test'!$K$5:$K$300,E$17)</f>
        <v>0</v>
      </c>
      <c r="F29" s="27">
        <f>COUNTIFS('Cas de test'!$C$5:$C$300,$B29,'Cas de test'!$K$5:$K$300,F$17)</f>
        <v>9</v>
      </c>
      <c r="G29" s="27">
        <f>COUNTIFS('Cas de test'!$C$5:$C$300,$B29,'Cas de test'!$K$5:$K$300,G$17)</f>
        <v>0</v>
      </c>
      <c r="H29" s="27">
        <f>COUNTIFS('Cas de test'!$C$5:$C$300,$B29,'Cas de test'!$K$5:$K$300,H$17)</f>
        <v>0</v>
      </c>
      <c r="I29" s="27">
        <f>COUNTIFS('Cas de test'!$C$5:$C$300,$B29,'Cas de test'!$K$5:$K$300,I$17)</f>
        <v>0</v>
      </c>
      <c r="J29" s="28">
        <f>IF(C29-I29=0,0,(F29+G29)/(C29-I29))</f>
        <v>1.0</v>
      </c>
      <c r="K29" s="28">
        <f>IF(F29+G29=0,0,F29/(F29+G29))</f>
        <v>1.0</v>
      </c>
    </row>
    <row r="30" ht="19.95" customHeight="1" s="73">
      <c r="B30" s="36" t="inlineStr">
        <is>
          <t>Navigation (sidebar)</t>
        </is>
      </c>
      <c r="C30" s="26">
        <f>COUNTIFS('Cas de test'!$C$5:$C$300,$B30)</f>
        <v>18</v>
      </c>
      <c r="D30" s="27">
        <f>COUNTIFS('Cas de test'!$C$5:$C$300,$B30,'Cas de test'!$K$5:$K$300,D$17)</f>
        <v>0</v>
      </c>
      <c r="E30" s="27">
        <f>COUNTIFS('Cas de test'!$C$5:$C$300,$B30,'Cas de test'!$K$5:$K$300,E$17)</f>
        <v>0</v>
      </c>
      <c r="F30" s="27">
        <f>COUNTIFS('Cas de test'!$C$5:$C$300,$B30,'Cas de test'!$K$5:$K$300,F$17)</f>
        <v>18</v>
      </c>
      <c r="G30" s="27">
        <f>COUNTIFS('Cas de test'!$C$5:$C$300,$B30,'Cas de test'!$K$5:$K$300,G$17)</f>
        <v>0</v>
      </c>
      <c r="H30" s="27">
        <f>COUNTIFS('Cas de test'!$C$5:$C$300,$B30,'Cas de test'!$K$5:$K$300,H$17)</f>
        <v>0</v>
      </c>
      <c r="I30" s="27">
        <f>COUNTIFS('Cas de test'!$C$5:$C$300,$B30,'Cas de test'!$K$5:$K$300,I$17)</f>
        <v>0</v>
      </c>
      <c r="J30" s="28">
        <f>IF(C30-I30=0,0,(F30+G30)/(C30-I30))</f>
        <v>1.0</v>
      </c>
      <c r="K30" s="28">
        <f>IF(F30+G30=0,0,F30/(F30+G30))</f>
        <v>1.0</v>
      </c>
    </row>
    <row r="31" ht="19.95" customHeight="1" s="73">
      <c r="B31" s="36" t="inlineStr">
        <is>
          <t>Sécurité, données et audit</t>
        </is>
      </c>
      <c r="C31" s="26">
        <f>COUNTIFS('Cas de test'!$C$5:$C$300,$B31)</f>
        <v>9</v>
      </c>
      <c r="D31" s="27">
        <f>COUNTIFS('Cas de test'!$C$5:$C$300,$B31,'Cas de test'!$K$5:$K$300,D$17)</f>
        <v>0</v>
      </c>
      <c r="E31" s="27">
        <f>COUNTIFS('Cas de test'!$C$5:$C$300,$B31,'Cas de test'!$K$5:$K$300,E$17)</f>
        <v>0</v>
      </c>
      <c r="F31" s="27">
        <f>COUNTIFS('Cas de test'!$C$5:$C$300,$B31,'Cas de test'!$K$5:$K$300,F$17)</f>
        <v>9</v>
      </c>
      <c r="G31" s="27">
        <f>COUNTIFS('Cas de test'!$C$5:$C$300,$B31,'Cas de test'!$K$5:$K$300,G$17)</f>
        <v>0</v>
      </c>
      <c r="H31" s="27">
        <f>COUNTIFS('Cas de test'!$C$5:$C$300,$B31,'Cas de test'!$K$5:$K$300,H$17)</f>
        <v>0</v>
      </c>
      <c r="I31" s="27">
        <f>COUNTIFS('Cas de test'!$C$5:$C$300,$B31,'Cas de test'!$K$5:$K$300,I$17)</f>
        <v>0</v>
      </c>
      <c r="J31" s="28">
        <f>IF(C31-I31=0,0,(F31+G31)/(C31-I31))</f>
        <v>1.0</v>
      </c>
      <c r="K31" s="28">
        <f>IF(F31+G31=0,0,F31/(F31+G31))</f>
        <v>1.0</v>
      </c>
    </row>
    <row r="32" ht="19.95" customHeight="1" s="73">
      <c r="B32" s="36" t="inlineStr">
        <is>
          <t>Hors ligne, mobile et téléphone simple</t>
        </is>
      </c>
      <c r="C32" s="26">
        <f>COUNTIFS('Cas de test'!$C$5:$C$300,$B32)</f>
        <v>6</v>
      </c>
      <c r="D32" s="27">
        <f>COUNTIFS('Cas de test'!$C$5:$C$300,$B32,'Cas de test'!$K$5:$K$300,D$17)</f>
        <v>2</v>
      </c>
      <c r="E32" s="27">
        <f>COUNTIFS('Cas de test'!$C$5:$C$300,$B32,'Cas de test'!$K$5:$K$300,E$17)</f>
        <v>0</v>
      </c>
      <c r="F32" s="27">
        <f>COUNTIFS('Cas de test'!$C$5:$C$300,$B32,'Cas de test'!$K$5:$K$300,F$17)</f>
        <v>4</v>
      </c>
      <c r="G32" s="27">
        <f>COUNTIFS('Cas de test'!$C$5:$C$300,$B32,'Cas de test'!$K$5:$K$300,G$17)</f>
        <v>0</v>
      </c>
      <c r="H32" s="27">
        <f>COUNTIFS('Cas de test'!$C$5:$C$300,$B32,'Cas de test'!$K$5:$K$300,H$17)</f>
        <v>0</v>
      </c>
      <c r="I32" s="27">
        <f>COUNTIFS('Cas de test'!$C$5:$C$300,$B32,'Cas de test'!$K$5:$K$300,I$17)</f>
        <v>0</v>
      </c>
      <c r="J32" s="28">
        <f>IF(C32-I32=0,0,(F32+G32)/(C32-I32))</f>
        <v>0.6666666666666666</v>
      </c>
      <c r="K32" s="28">
        <f>IF(F32+G32=0,0,F32/(F32+G32))</f>
        <v>1.0</v>
      </c>
    </row>
    <row r="33" ht="19.95" customHeight="1" s="73">
      <c r="B33" s="33" t="inlineStr">
        <is>
          <t>Total</t>
        </is>
      </c>
      <c r="C33" s="34">
        <f>SUM(C18:C32)</f>
        <v>134</v>
      </c>
      <c r="D33" s="34">
        <f>SUM(D18:D32)</f>
        <v>2</v>
      </c>
      <c r="E33" s="34">
        <f>SUM(E18:E32)</f>
        <v>9</v>
      </c>
      <c r="F33" s="34">
        <f>SUM(F18:F32)</f>
        <v>122</v>
      </c>
      <c r="G33" s="34">
        <f>SUM(G18:G32)</f>
        <v>0</v>
      </c>
      <c r="H33" s="34">
        <f>SUM(H18:H32)</f>
        <v>1</v>
      </c>
      <c r="I33" s="34">
        <f>SUM(I18:I32)</f>
        <v>0</v>
      </c>
      <c r="J33" s="35">
        <f>IF(C33-I33=0,0,(F33+G33)/(C33-I33))</f>
        <v>0.9104477611940298</v>
      </c>
      <c r="K33" s="35">
        <f>IF(F33+G33=0,0,F33/(F33+G33))</f>
        <v>1.0</v>
      </c>
    </row>
    <row r="35" ht="22.05" customHeight="1" s="73">
      <c r="B35" s="78" t="inlineStr">
        <is>
          <t>Par rôle (un cas multi-rôle compte pour chacun de ses rôles)</t>
        </is>
      </c>
      <c r="C35" s="94" t="n"/>
      <c r="D35" s="94" t="n"/>
      <c r="E35" s="94" t="n"/>
      <c r="F35" s="94" t="n"/>
      <c r="G35" s="94" t="n"/>
      <c r="H35" s="94" t="n"/>
      <c r="I35" s="94" t="n"/>
      <c r="J35" s="94" t="n"/>
      <c r="K35" s="94" t="n"/>
    </row>
    <row r="36" ht="30" customHeight="1" s="73">
      <c r="B36" s="2" t="inlineStr">
        <is>
          <t>Rôle</t>
        </is>
      </c>
      <c r="C36" s="18" t="inlineStr">
        <is>
          <t>Total</t>
        </is>
      </c>
      <c r="D36" s="19" t="inlineStr">
        <is>
          <t>À tester</t>
        </is>
      </c>
      <c r="E36" s="20" t="inlineStr">
        <is>
          <t>En cours</t>
        </is>
      </c>
      <c r="F36" s="21" t="inlineStr">
        <is>
          <t>OK</t>
        </is>
      </c>
      <c r="G36" s="22" t="inlineStr">
        <is>
          <t>KO</t>
        </is>
      </c>
      <c r="H36" s="23" t="inlineStr">
        <is>
          <t>Bloqué</t>
        </is>
      </c>
      <c r="I36" s="24" t="inlineStr">
        <is>
          <t>Non applicable</t>
        </is>
      </c>
      <c r="J36" s="18" t="inlineStr">
        <is>
          <t>Avancement</t>
        </is>
      </c>
      <c r="K36" s="18" t="inlineStr">
        <is>
          <t>Réussite</t>
        </is>
      </c>
    </row>
    <row r="37" ht="19.95" customHeight="1" s="73">
      <c r="B37" s="36" t="inlineStr">
        <is>
          <t>Producteur</t>
        </is>
      </c>
      <c r="C37" s="26">
        <f>COUNTIFS('Cas de test'!$E$5:$E$300,"*"&amp;$B37&amp;"*")</f>
        <v>52</v>
      </c>
      <c r="D37" s="27">
        <f>COUNTIFS('Cas de test'!$E$5:$E$300,"*"&amp;$B37&amp;"*",'Cas de test'!$K$5:$K$300,D$36)</f>
        <v>2</v>
      </c>
      <c r="E37" s="27">
        <f>COUNTIFS('Cas de test'!$E$5:$E$300,"*"&amp;$B37&amp;"*",'Cas de test'!$K$5:$K$300,E$36)</f>
        <v>5</v>
      </c>
      <c r="F37" s="27">
        <f>COUNTIFS('Cas de test'!$E$5:$E$300,"*"&amp;$B37&amp;"*",'Cas de test'!$K$5:$K$300,F$36)</f>
        <v>44</v>
      </c>
      <c r="G37" s="27">
        <f>COUNTIFS('Cas de test'!$E$5:$E$300,"*"&amp;$B37&amp;"*",'Cas de test'!$K$5:$K$300,G$36)</f>
        <v>0</v>
      </c>
      <c r="H37" s="27">
        <f>COUNTIFS('Cas de test'!$E$5:$E$300,"*"&amp;$B37&amp;"*",'Cas de test'!$K$5:$K$300,H$36)</f>
        <v>1</v>
      </c>
      <c r="I37" s="27">
        <f>COUNTIFS('Cas de test'!$E$5:$E$300,"*"&amp;$B37&amp;"*",'Cas de test'!$K$5:$K$300,I$36)</f>
        <v>0</v>
      </c>
      <c r="J37" s="28">
        <f>IF(C37-I37=0,0,(F37+G37)/(C37-I37))</f>
        <v>0.8461538461538461</v>
      </c>
      <c r="K37" s="28">
        <f>IF(F37+G37=0,0,F37/(F37+G37))</f>
        <v>1.0</v>
      </c>
    </row>
    <row r="38" ht="19.95" customHeight="1" s="73">
      <c r="B38" s="36" t="inlineStr">
        <is>
          <t>Agent ATDA</t>
        </is>
      </c>
      <c r="C38" s="26">
        <f>COUNTIFS('Cas de test'!$E$5:$E$300,"*"&amp;$B38&amp;"*")</f>
        <v>36</v>
      </c>
      <c r="D38" s="27">
        <f>COUNTIFS('Cas de test'!$E$5:$E$300,"*"&amp;$B38&amp;"*",'Cas de test'!$K$5:$K$300,D$36)</f>
        <v>1</v>
      </c>
      <c r="E38" s="27">
        <f>COUNTIFS('Cas de test'!$E$5:$E$300,"*"&amp;$B38&amp;"*",'Cas de test'!$K$5:$K$300,E$36)</f>
        <v>0</v>
      </c>
      <c r="F38" s="27">
        <f>COUNTIFS('Cas de test'!$E$5:$E$300,"*"&amp;$B38&amp;"*",'Cas de test'!$K$5:$K$300,F$36)</f>
        <v>35</v>
      </c>
      <c r="G38" s="27">
        <f>COUNTIFS('Cas de test'!$E$5:$E$300,"*"&amp;$B38&amp;"*",'Cas de test'!$K$5:$K$300,G$36)</f>
        <v>0</v>
      </c>
      <c r="H38" s="27">
        <f>COUNTIFS('Cas de test'!$E$5:$E$300,"*"&amp;$B38&amp;"*",'Cas de test'!$K$5:$K$300,H$36)</f>
        <v>0</v>
      </c>
      <c r="I38" s="27">
        <f>COUNTIFS('Cas de test'!$E$5:$E$300,"*"&amp;$B38&amp;"*",'Cas de test'!$K$5:$K$300,I$36)</f>
        <v>0</v>
      </c>
      <c r="J38" s="28">
        <f>IF(C38-I38=0,0,(F38+G38)/(C38-I38))</f>
        <v>0.9722222222222222</v>
      </c>
      <c r="K38" s="28">
        <f>IF(F38+G38=0,0,F38/(F38+G38))</f>
        <v>1.0</v>
      </c>
    </row>
    <row r="39" ht="19.95" customHeight="1" s="73">
      <c r="B39" s="36" t="inlineStr">
        <is>
          <t>Agronome INRAB</t>
        </is>
      </c>
      <c r="C39" s="26">
        <f>COUNTIFS('Cas de test'!$E$5:$E$300,"*"&amp;$B39&amp;"*")</f>
        <v>6</v>
      </c>
      <c r="D39" s="27">
        <f>COUNTIFS('Cas de test'!$E$5:$E$300,"*"&amp;$B39&amp;"*",'Cas de test'!$K$5:$K$300,D$36)</f>
        <v>0</v>
      </c>
      <c r="E39" s="27">
        <f>COUNTIFS('Cas de test'!$E$5:$E$300,"*"&amp;$B39&amp;"*",'Cas de test'!$K$5:$K$300,E$36)</f>
        <v>0</v>
      </c>
      <c r="F39" s="27">
        <f>COUNTIFS('Cas de test'!$E$5:$E$300,"*"&amp;$B39&amp;"*",'Cas de test'!$K$5:$K$300,F$36)</f>
        <v>6</v>
      </c>
      <c r="G39" s="27">
        <f>COUNTIFS('Cas de test'!$E$5:$E$300,"*"&amp;$B39&amp;"*",'Cas de test'!$K$5:$K$300,G$36)</f>
        <v>0</v>
      </c>
      <c r="H39" s="27">
        <f>COUNTIFS('Cas de test'!$E$5:$E$300,"*"&amp;$B39&amp;"*",'Cas de test'!$K$5:$K$300,H$36)</f>
        <v>0</v>
      </c>
      <c r="I39" s="27">
        <f>COUNTIFS('Cas de test'!$E$5:$E$300,"*"&amp;$B39&amp;"*",'Cas de test'!$K$5:$K$300,I$36)</f>
        <v>0</v>
      </c>
      <c r="J39" s="28">
        <f>IF(C39-I39=0,0,(F39+G39)/(C39-I39))</f>
        <v>1.0</v>
      </c>
      <c r="K39" s="28">
        <f>IF(F39+G39=0,0,F39/(F39+G39))</f>
        <v>1.0</v>
      </c>
    </row>
    <row r="40" ht="19.95" customHeight="1" s="73">
      <c r="B40" s="36" t="inlineStr">
        <is>
          <t>Responsable de programme</t>
        </is>
      </c>
      <c r="C40" s="26">
        <f>COUNTIFS('Cas de test'!$E$5:$E$300,"*"&amp;$B40&amp;"*")</f>
        <v>6</v>
      </c>
      <c r="D40" s="27">
        <f>COUNTIFS('Cas de test'!$E$5:$E$300,"*"&amp;$B40&amp;"*",'Cas de test'!$K$5:$K$300,D$36)</f>
        <v>0</v>
      </c>
      <c r="E40" s="27">
        <f>COUNTIFS('Cas de test'!$E$5:$E$300,"*"&amp;$B40&amp;"*",'Cas de test'!$K$5:$K$300,E$36)</f>
        <v>0</v>
      </c>
      <c r="F40" s="27">
        <f>COUNTIFS('Cas de test'!$E$5:$E$300,"*"&amp;$B40&amp;"*",'Cas de test'!$K$5:$K$300,F$36)</f>
        <v>6</v>
      </c>
      <c r="G40" s="27">
        <f>COUNTIFS('Cas de test'!$E$5:$E$300,"*"&amp;$B40&amp;"*",'Cas de test'!$K$5:$K$300,G$36)</f>
        <v>0</v>
      </c>
      <c r="H40" s="27">
        <f>COUNTIFS('Cas de test'!$E$5:$E$300,"*"&amp;$B40&amp;"*",'Cas de test'!$K$5:$K$300,H$36)</f>
        <v>0</v>
      </c>
      <c r="I40" s="27">
        <f>COUNTIFS('Cas de test'!$E$5:$E$300,"*"&amp;$B40&amp;"*",'Cas de test'!$K$5:$K$300,I$36)</f>
        <v>0</v>
      </c>
      <c r="J40" s="28">
        <f>IF(C40-I40=0,0,(F40+G40)/(C40-I40))</f>
        <v>1.0</v>
      </c>
      <c r="K40" s="28">
        <f>IF(F40+G40=0,0,F40/(F40+G40))</f>
        <v>1.0</v>
      </c>
    </row>
    <row r="41" ht="19.95" customHeight="1" s="73">
      <c r="B41" s="36" t="inlineStr">
        <is>
          <t>Administrateur MAEP</t>
        </is>
      </c>
      <c r="C41" s="26">
        <f>COUNTIFS('Cas de test'!$E$5:$E$300,"*"&amp;$B41&amp;"*")</f>
        <v>18</v>
      </c>
      <c r="D41" s="27">
        <f>COUNTIFS('Cas de test'!$E$5:$E$300,"*"&amp;$B41&amp;"*",'Cas de test'!$K$5:$K$300,D$36)</f>
        <v>0</v>
      </c>
      <c r="E41" s="27">
        <f>COUNTIFS('Cas de test'!$E$5:$E$300,"*"&amp;$B41&amp;"*",'Cas de test'!$K$5:$K$300,E$36)</f>
        <v>0</v>
      </c>
      <c r="F41" s="27">
        <f>COUNTIFS('Cas de test'!$E$5:$E$300,"*"&amp;$B41&amp;"*",'Cas de test'!$K$5:$K$300,F$36)</f>
        <v>18</v>
      </c>
      <c r="G41" s="27">
        <f>COUNTIFS('Cas de test'!$E$5:$E$300,"*"&amp;$B41&amp;"*",'Cas de test'!$K$5:$K$300,G$36)</f>
        <v>0</v>
      </c>
      <c r="H41" s="27">
        <f>COUNTIFS('Cas de test'!$E$5:$E$300,"*"&amp;$B41&amp;"*",'Cas de test'!$K$5:$K$300,H$36)</f>
        <v>0</v>
      </c>
      <c r="I41" s="27">
        <f>COUNTIFS('Cas de test'!$E$5:$E$300,"*"&amp;$B41&amp;"*",'Cas de test'!$K$5:$K$300,I$36)</f>
        <v>0</v>
      </c>
      <c r="J41" s="28">
        <f>IF(C41-I41=0,0,(F41+G41)/(C41-I41))</f>
        <v>1.0</v>
      </c>
      <c r="K41" s="28">
        <f>IF(F41+G41=0,0,F41/(F41+G41))</f>
        <v>1.0</v>
      </c>
    </row>
    <row r="42" ht="19.95" customHeight="1" s="73">
      <c r="B42" s="36" t="inlineStr">
        <is>
          <t>Auditeur CoPil</t>
        </is>
      </c>
      <c r="C42" s="26">
        <f>COUNTIFS('Cas de test'!$E$5:$E$300,"*"&amp;$B42&amp;"*")</f>
        <v>2</v>
      </c>
      <c r="D42" s="27">
        <f>COUNTIFS('Cas de test'!$E$5:$E$300,"*"&amp;$B42&amp;"*",'Cas de test'!$K$5:$K$300,D$36)</f>
        <v>0</v>
      </c>
      <c r="E42" s="27">
        <f>COUNTIFS('Cas de test'!$E$5:$E$300,"*"&amp;$B42&amp;"*",'Cas de test'!$K$5:$K$300,E$36)</f>
        <v>0</v>
      </c>
      <c r="F42" s="27">
        <f>COUNTIFS('Cas de test'!$E$5:$E$300,"*"&amp;$B42&amp;"*",'Cas de test'!$K$5:$K$300,F$36)</f>
        <v>2</v>
      </c>
      <c r="G42" s="27">
        <f>COUNTIFS('Cas de test'!$E$5:$E$300,"*"&amp;$B42&amp;"*",'Cas de test'!$K$5:$K$300,G$36)</f>
        <v>0</v>
      </c>
      <c r="H42" s="27">
        <f>COUNTIFS('Cas de test'!$E$5:$E$300,"*"&amp;$B42&amp;"*",'Cas de test'!$K$5:$K$300,H$36)</f>
        <v>0</v>
      </c>
      <c r="I42" s="27">
        <f>COUNTIFS('Cas de test'!$E$5:$E$300,"*"&amp;$B42&amp;"*",'Cas de test'!$K$5:$K$300,I$36)</f>
        <v>0</v>
      </c>
      <c r="J42" s="28">
        <f>IF(C42-I42=0,0,(F42+G42)/(C42-I42))</f>
        <v>1.0</v>
      </c>
      <c r="K42" s="28">
        <f>IF(F42+G42=0,0,F42/(F42+G42))</f>
        <v>1.0</v>
      </c>
    </row>
    <row r="43" ht="19.95" customHeight="1" s="73">
      <c r="B43" s="36" t="inlineStr">
        <is>
          <t>Agent financier</t>
        </is>
      </c>
      <c r="C43" s="26">
        <f>COUNTIFS('Cas de test'!$E$5:$E$300,"*"&amp;$B43&amp;"*")</f>
        <v>4</v>
      </c>
      <c r="D43" s="27">
        <f>COUNTIFS('Cas de test'!$E$5:$E$300,"*"&amp;$B43&amp;"*",'Cas de test'!$K$5:$K$300,D$36)</f>
        <v>0</v>
      </c>
      <c r="E43" s="27">
        <f>COUNTIFS('Cas de test'!$E$5:$E$300,"*"&amp;$B43&amp;"*",'Cas de test'!$K$5:$K$300,E$36)</f>
        <v>1</v>
      </c>
      <c r="F43" s="27">
        <f>COUNTIFS('Cas de test'!$E$5:$E$300,"*"&amp;$B43&amp;"*",'Cas de test'!$K$5:$K$300,F$36)</f>
        <v>3</v>
      </c>
      <c r="G43" s="27">
        <f>COUNTIFS('Cas de test'!$E$5:$E$300,"*"&amp;$B43&amp;"*",'Cas de test'!$K$5:$K$300,G$36)</f>
        <v>0</v>
      </c>
      <c r="H43" s="27">
        <f>COUNTIFS('Cas de test'!$E$5:$E$300,"*"&amp;$B43&amp;"*",'Cas de test'!$K$5:$K$300,H$36)</f>
        <v>0</v>
      </c>
      <c r="I43" s="27">
        <f>COUNTIFS('Cas de test'!$E$5:$E$300,"*"&amp;$B43&amp;"*",'Cas de test'!$K$5:$K$300,I$36)</f>
        <v>0</v>
      </c>
      <c r="J43" s="28">
        <f>IF(C43-I43=0,0,(F43+G43)/(C43-I43))</f>
        <v>0.75</v>
      </c>
      <c r="K43" s="28">
        <f>IF(F43+G43=0,0,F43/(F43+G43))</f>
        <v>1.0</v>
      </c>
    </row>
    <row r="44" ht="19.95" customHeight="1" s="73">
      <c r="B44" s="36" t="inlineStr">
        <is>
          <t>Gestionnaire de coopérative</t>
        </is>
      </c>
      <c r="C44" s="26">
        <f>COUNTIFS('Cas de test'!$E$5:$E$300,"*"&amp;$B44&amp;"*")</f>
        <v>5</v>
      </c>
      <c r="D44" s="27">
        <f>COUNTIFS('Cas de test'!$E$5:$E$300,"*"&amp;$B44&amp;"*",'Cas de test'!$K$5:$K$300,D$36)</f>
        <v>0</v>
      </c>
      <c r="E44" s="27">
        <f>COUNTIFS('Cas de test'!$E$5:$E$300,"*"&amp;$B44&amp;"*",'Cas de test'!$K$5:$K$300,E$36)</f>
        <v>0</v>
      </c>
      <c r="F44" s="27">
        <f>COUNTIFS('Cas de test'!$E$5:$E$300,"*"&amp;$B44&amp;"*",'Cas de test'!$K$5:$K$300,F$36)</f>
        <v>5</v>
      </c>
      <c r="G44" s="27">
        <f>COUNTIFS('Cas de test'!$E$5:$E$300,"*"&amp;$B44&amp;"*",'Cas de test'!$K$5:$K$300,G$36)</f>
        <v>0</v>
      </c>
      <c r="H44" s="27">
        <f>COUNTIFS('Cas de test'!$E$5:$E$300,"*"&amp;$B44&amp;"*",'Cas de test'!$K$5:$K$300,H$36)</f>
        <v>0</v>
      </c>
      <c r="I44" s="27">
        <f>COUNTIFS('Cas de test'!$E$5:$E$300,"*"&amp;$B44&amp;"*",'Cas de test'!$K$5:$K$300,I$36)</f>
        <v>0</v>
      </c>
      <c r="J44" s="28">
        <f>IF(C44-I44=0,0,(F44+G44)/(C44-I44))</f>
        <v>1.0</v>
      </c>
      <c r="K44" s="28">
        <f>IF(F44+G44=0,0,F44/(F44+G44))</f>
        <v>1.0</v>
      </c>
    </row>
    <row r="45" ht="19.95" customHeight="1" s="73">
      <c r="B45" s="36" t="inlineStr">
        <is>
          <t>Transformateur</t>
        </is>
      </c>
      <c r="C45" s="26">
        <f>COUNTIFS('Cas de test'!$E$5:$E$300,"*"&amp;$B45&amp;"*")</f>
        <v>13</v>
      </c>
      <c r="D45" s="27">
        <f>COUNTIFS('Cas de test'!$E$5:$E$300,"*"&amp;$B45&amp;"*",'Cas de test'!$K$5:$K$300,D$36)</f>
        <v>0</v>
      </c>
      <c r="E45" s="27">
        <f>COUNTIFS('Cas de test'!$E$5:$E$300,"*"&amp;$B45&amp;"*",'Cas de test'!$K$5:$K$300,E$36)</f>
        <v>0</v>
      </c>
      <c r="F45" s="27">
        <f>COUNTIFS('Cas de test'!$E$5:$E$300,"*"&amp;$B45&amp;"*",'Cas de test'!$K$5:$K$300,F$36)</f>
        <v>13</v>
      </c>
      <c r="G45" s="27">
        <f>COUNTIFS('Cas de test'!$E$5:$E$300,"*"&amp;$B45&amp;"*",'Cas de test'!$K$5:$K$300,G$36)</f>
        <v>0</v>
      </c>
      <c r="H45" s="27">
        <f>COUNTIFS('Cas de test'!$E$5:$E$300,"*"&amp;$B45&amp;"*",'Cas de test'!$K$5:$K$300,H$36)</f>
        <v>0</v>
      </c>
      <c r="I45" s="27">
        <f>COUNTIFS('Cas de test'!$E$5:$E$300,"*"&amp;$B45&amp;"*",'Cas de test'!$K$5:$K$300,I$36)</f>
        <v>0</v>
      </c>
      <c r="J45" s="28">
        <f>IF(C45-I45=0,0,(F45+G45)/(C45-I45))</f>
        <v>1.0</v>
      </c>
      <c r="K45" s="28">
        <f>IF(F45+G45=0,0,F45/(F45+G45))</f>
        <v>1.0</v>
      </c>
    </row>
    <row r="46" ht="19.95" customHeight="1" s="73">
      <c r="B46" s="36" t="inlineStr">
        <is>
          <t>Distributeur</t>
        </is>
      </c>
      <c r="C46" s="26">
        <f>COUNTIFS('Cas de test'!$E$5:$E$300,"*"&amp;$B46&amp;"*")</f>
        <v>7</v>
      </c>
      <c r="D46" s="27">
        <f>COUNTIFS('Cas de test'!$E$5:$E$300,"*"&amp;$B46&amp;"*",'Cas de test'!$K$5:$K$300,D$36)</f>
        <v>0</v>
      </c>
      <c r="E46" s="27">
        <f>COUNTIFS('Cas de test'!$E$5:$E$300,"*"&amp;$B46&amp;"*",'Cas de test'!$K$5:$K$300,E$36)</f>
        <v>1</v>
      </c>
      <c r="F46" s="27">
        <f>COUNTIFS('Cas de test'!$E$5:$E$300,"*"&amp;$B46&amp;"*",'Cas de test'!$K$5:$K$300,F$36)</f>
        <v>6</v>
      </c>
      <c r="G46" s="27">
        <f>COUNTIFS('Cas de test'!$E$5:$E$300,"*"&amp;$B46&amp;"*",'Cas de test'!$K$5:$K$300,G$36)</f>
        <v>0</v>
      </c>
      <c r="H46" s="27">
        <f>COUNTIFS('Cas de test'!$E$5:$E$300,"*"&amp;$B46&amp;"*",'Cas de test'!$K$5:$K$300,H$36)</f>
        <v>0</v>
      </c>
      <c r="I46" s="27">
        <f>COUNTIFS('Cas de test'!$E$5:$E$300,"*"&amp;$B46&amp;"*",'Cas de test'!$K$5:$K$300,I$36)</f>
        <v>0</v>
      </c>
      <c r="J46" s="28">
        <f>IF(C46-I46=0,0,(F46+G46)/(C46-I46))</f>
        <v>0.8571428571428571</v>
      </c>
      <c r="K46" s="28">
        <f>IF(F46+G46=0,0,F46/(F46+G46))</f>
        <v>1.0</v>
      </c>
    </row>
    <row r="47" ht="19.95" customHeight="1" s="73">
      <c r="B47" s="36" t="inlineStr">
        <is>
          <t>Représentant MTDI</t>
        </is>
      </c>
      <c r="C47" s="26">
        <f>COUNTIFS('Cas de test'!$E$5:$E$300,"*"&amp;$B47&amp;"*")</f>
        <v>5</v>
      </c>
      <c r="D47" s="27">
        <f>COUNTIFS('Cas de test'!$E$5:$E$300,"*"&amp;$B47&amp;"*",'Cas de test'!$K$5:$K$300,D$36)</f>
        <v>0</v>
      </c>
      <c r="E47" s="27">
        <f>COUNTIFS('Cas de test'!$E$5:$E$300,"*"&amp;$B47&amp;"*",'Cas de test'!$K$5:$K$300,E$36)</f>
        <v>2</v>
      </c>
      <c r="F47" s="27">
        <f>COUNTIFS('Cas de test'!$E$5:$E$300,"*"&amp;$B47&amp;"*",'Cas de test'!$K$5:$K$300,F$36)</f>
        <v>3</v>
      </c>
      <c r="G47" s="27">
        <f>COUNTIFS('Cas de test'!$E$5:$E$300,"*"&amp;$B47&amp;"*",'Cas de test'!$K$5:$K$300,G$36)</f>
        <v>0</v>
      </c>
      <c r="H47" s="27">
        <f>COUNTIFS('Cas de test'!$E$5:$E$300,"*"&amp;$B47&amp;"*",'Cas de test'!$K$5:$K$300,H$36)</f>
        <v>0</v>
      </c>
      <c r="I47" s="27">
        <f>COUNTIFS('Cas de test'!$E$5:$E$300,"*"&amp;$B47&amp;"*",'Cas de test'!$K$5:$K$300,I$36)</f>
        <v>0</v>
      </c>
      <c r="J47" s="28">
        <f>IF(C47-I47=0,0,(F47+G47)/(C47-I47))</f>
        <v>0.6</v>
      </c>
      <c r="K47" s="28">
        <f>IF(F47+G47=0,0,F47/(F47+G47))</f>
        <v>1.0</v>
      </c>
    </row>
    <row r="49" ht="22.05" customHeight="1" s="73">
      <c r="B49" s="78" t="inlineStr">
        <is>
          <t>Par priorité</t>
        </is>
      </c>
      <c r="C49" s="94" t="n"/>
      <c r="D49" s="94" t="n"/>
      <c r="E49" s="94" t="n"/>
      <c r="F49" s="94" t="n"/>
      <c r="G49" s="94" t="n"/>
      <c r="H49" s="94" t="n"/>
      <c r="I49" s="94" t="n"/>
      <c r="J49" s="94" t="n"/>
      <c r="K49" s="94" t="n"/>
    </row>
    <row r="50" ht="30" customHeight="1" s="73">
      <c r="B50" s="2" t="inlineStr">
        <is>
          <t>Priorité</t>
        </is>
      </c>
      <c r="C50" s="18" t="inlineStr">
        <is>
          <t>Total</t>
        </is>
      </c>
      <c r="D50" s="19" t="inlineStr">
        <is>
          <t>À tester</t>
        </is>
      </c>
      <c r="E50" s="20" t="inlineStr">
        <is>
          <t>En cours</t>
        </is>
      </c>
      <c r="F50" s="21" t="inlineStr">
        <is>
          <t>OK</t>
        </is>
      </c>
      <c r="G50" s="22" t="inlineStr">
        <is>
          <t>KO</t>
        </is>
      </c>
      <c r="H50" s="23" t="inlineStr">
        <is>
          <t>Bloqué</t>
        </is>
      </c>
      <c r="I50" s="24" t="inlineStr">
        <is>
          <t>Non applicable</t>
        </is>
      </c>
      <c r="J50" s="18" t="inlineStr">
        <is>
          <t>Avancement</t>
        </is>
      </c>
      <c r="K50" s="18" t="inlineStr">
        <is>
          <t>Réussite</t>
        </is>
      </c>
    </row>
    <row r="51" ht="19.95" customHeight="1" s="73">
      <c r="B51" s="36" t="inlineStr">
        <is>
          <t>P1</t>
        </is>
      </c>
      <c r="C51" s="26">
        <f>COUNTIFS('Cas de test'!$F$5:$F$300,$B51)</f>
        <v>51</v>
      </c>
      <c r="D51" s="27">
        <f>COUNTIFS('Cas de test'!$F$5:$F$300,$B51,'Cas de test'!$K$5:$K$300,D$50)</f>
        <v>0</v>
      </c>
      <c r="E51" s="27">
        <f>COUNTIFS('Cas de test'!$F$5:$F$300,$B51,'Cas de test'!$K$5:$K$300,E$50)</f>
        <v>0</v>
      </c>
      <c r="F51" s="27">
        <f>COUNTIFS('Cas de test'!$F$5:$F$300,$B51,'Cas de test'!$K$5:$K$300,F$50)</f>
        <v>51</v>
      </c>
      <c r="G51" s="27">
        <f>COUNTIFS('Cas de test'!$F$5:$F$300,$B51,'Cas de test'!$K$5:$K$300,G$50)</f>
        <v>0</v>
      </c>
      <c r="H51" s="27">
        <f>COUNTIFS('Cas de test'!$F$5:$F$300,$B51,'Cas de test'!$K$5:$K$300,H$50)</f>
        <v>0</v>
      </c>
      <c r="I51" s="27">
        <f>COUNTIFS('Cas de test'!$F$5:$F$300,$B51,'Cas de test'!$K$5:$K$300,I$50)</f>
        <v>0</v>
      </c>
      <c r="J51" s="28">
        <f>IF(C51-I51=0,0,(F51+G51)/(C51-I51))</f>
        <v>1.0</v>
      </c>
      <c r="K51" s="28">
        <f>IF(F51+G51=0,0,F51/(F51+G51))</f>
        <v>1.0</v>
      </c>
    </row>
    <row r="52" ht="19.95" customHeight="1" s="73">
      <c r="B52" s="36" t="inlineStr">
        <is>
          <t>P2</t>
        </is>
      </c>
      <c r="C52" s="26">
        <f>COUNTIFS('Cas de test'!$F$5:$F$300,$B52)</f>
        <v>62</v>
      </c>
      <c r="D52" s="27">
        <f>COUNTIFS('Cas de test'!$F$5:$F$300,$B52,'Cas de test'!$K$5:$K$300,D$50)</f>
        <v>1</v>
      </c>
      <c r="E52" s="27">
        <f>COUNTIFS('Cas de test'!$F$5:$F$300,$B52,'Cas de test'!$K$5:$K$300,E$50)</f>
        <v>4</v>
      </c>
      <c r="F52" s="27">
        <f>COUNTIFS('Cas de test'!$F$5:$F$300,$B52,'Cas de test'!$K$5:$K$300,F$50)</f>
        <v>57</v>
      </c>
      <c r="G52" s="27">
        <f>COUNTIFS('Cas de test'!$F$5:$F$300,$B52,'Cas de test'!$K$5:$K$300,G$50)</f>
        <v>0</v>
      </c>
      <c r="H52" s="27">
        <f>COUNTIFS('Cas de test'!$F$5:$F$300,$B52,'Cas de test'!$K$5:$K$300,H$50)</f>
        <v>0</v>
      </c>
      <c r="I52" s="27">
        <f>COUNTIFS('Cas de test'!$F$5:$F$300,$B52,'Cas de test'!$K$5:$K$300,I$50)</f>
        <v>0</v>
      </c>
      <c r="J52" s="28">
        <f>IF(C52-I52=0,0,(F52+G52)/(C52-I52))</f>
        <v>0.9193548387096774</v>
      </c>
      <c r="K52" s="28">
        <f>IF(F52+G52=0,0,F52/(F52+G52))</f>
        <v>1.0</v>
      </c>
    </row>
    <row r="53" ht="19.95" customHeight="1" s="73">
      <c r="B53" s="36" t="inlineStr">
        <is>
          <t>P3</t>
        </is>
      </c>
      <c r="C53" s="26">
        <f>COUNTIFS('Cas de test'!$F$5:$F$300,$B53)</f>
        <v>21</v>
      </c>
      <c r="D53" s="27">
        <f>COUNTIFS('Cas de test'!$F$5:$F$300,$B53,'Cas de test'!$K$5:$K$300,D$50)</f>
        <v>1</v>
      </c>
      <c r="E53" s="27">
        <f>COUNTIFS('Cas de test'!$F$5:$F$300,$B53,'Cas de test'!$K$5:$K$300,E$50)</f>
        <v>5</v>
      </c>
      <c r="F53" s="27">
        <f>COUNTIFS('Cas de test'!$F$5:$F$300,$B53,'Cas de test'!$K$5:$K$300,F$50)</f>
        <v>14</v>
      </c>
      <c r="G53" s="27">
        <f>COUNTIFS('Cas de test'!$F$5:$F$300,$B53,'Cas de test'!$K$5:$K$300,G$50)</f>
        <v>0</v>
      </c>
      <c r="H53" s="27">
        <f>COUNTIFS('Cas de test'!$F$5:$F$300,$B53,'Cas de test'!$K$5:$K$300,H$50)</f>
        <v>1</v>
      </c>
      <c r="I53" s="27">
        <f>COUNTIFS('Cas de test'!$F$5:$F$300,$B53,'Cas de test'!$K$5:$K$300,I$50)</f>
        <v>0</v>
      </c>
      <c r="J53" s="28">
        <f>IF(C53-I53=0,0,(F53+G53)/(C53-I53))</f>
        <v>0.6666666666666666</v>
      </c>
      <c r="K53" s="28">
        <f>IF(F53+G53=0,0,F53/(F53+G53))</f>
        <v>1.0</v>
      </c>
    </row>
    <row r="54" ht="19.95" customHeight="1" s="73">
      <c r="B54" s="33" t="inlineStr">
        <is>
          <t>Total</t>
        </is>
      </c>
      <c r="C54" s="34">
        <f>SUM(C51:C53)</f>
        <v>134</v>
      </c>
      <c r="D54" s="34">
        <f>SUM(D51:D53)</f>
        <v>2</v>
      </c>
      <c r="E54" s="34">
        <f>SUM(E51:E53)</f>
        <v>9</v>
      </c>
      <c r="F54" s="34">
        <f>SUM(F51:F53)</f>
        <v>122</v>
      </c>
      <c r="G54" s="34">
        <f>SUM(G51:G53)</f>
        <v>0</v>
      </c>
      <c r="H54" s="34">
        <f>SUM(H51:H53)</f>
        <v>1</v>
      </c>
      <c r="I54" s="34">
        <f>SUM(I51:I53)</f>
        <v>0</v>
      </c>
      <c r="J54" s="35">
        <f>IF(C54-I54=0,0,(F54+G54)/(C54-I54))</f>
        <v>0.9104477611940298</v>
      </c>
      <c r="K54" s="35">
        <f>IF(F54+G54=0,0,F54/(F54+G54))</f>
        <v>1.0</v>
      </c>
    </row>
    <row r="56" ht="22.05" customHeight="1" s="73">
      <c r="B56" s="78" t="inlineStr">
        <is>
          <t>Comment lire ces chiffres</t>
        </is>
      </c>
      <c r="C56" s="94" t="n"/>
      <c r="D56" s="94" t="n"/>
      <c r="E56" s="94" t="n"/>
      <c r="F56" s="94" t="n"/>
      <c r="G56" s="94" t="n"/>
      <c r="H56" s="94" t="n"/>
      <c r="I56" s="94" t="n"/>
      <c r="J56" s="94" t="n"/>
      <c r="K56" s="94" t="n"/>
    </row>
    <row r="57" ht="25.95" customHeight="1" s="73">
      <c r="B57" s="86" t="inlineStr">
        <is>
          <t>Avancement = (OK + KO) ÷ (total − Non applicable). Réussite = OK ÷ (OK + KO). Les cas Bloqués ne comptent ni dans l'un ni dans l'autre.</t>
        </is>
      </c>
    </row>
    <row r="58" ht="25.95" customHeight="1" s="73">
      <c r="B58" s="86" t="inlineStr">
        <is>
          <t>Décision : « NON PRÊT » dès qu'un cas P1 est KO ou Bloqué ; « EN COURS » tant qu'il reste des cas À tester ou En cours ; sinon « PRÊT À VALIDER ».</t>
        </is>
      </c>
    </row>
    <row r="59" ht="25.95" customHeight="1" s="73">
      <c r="B59" s="86" t="inlineStr">
        <is>
          <t>Anomalies ouvertes = Ouverte + En correction + Corrigée + À retester (la ligne EXEMPLE de l'onglet Anomalies est fermée : elle ne compte pas).</t>
        </is>
      </c>
    </row>
    <row r="60" ht="25.95" customHeight="1" s="73">
      <c r="B60" s="86" t="inlineStr">
        <is>
          <t>Les cas ajoutés dans « Cas de test » (jusqu'à la ligne 300) sont comptés automatiquement.</t>
        </is>
      </c>
    </row>
  </sheetData>
  <mergeCells count="19">
    <mergeCell ref="F4:G4"/>
    <mergeCell ref="B49:K49"/>
    <mergeCell ref="J5:K5"/>
    <mergeCell ref="H4:I4"/>
    <mergeCell ref="F5:G5"/>
    <mergeCell ref="B35:K35"/>
    <mergeCell ref="B7:K7"/>
    <mergeCell ref="B16:K16"/>
    <mergeCell ref="B59:K59"/>
    <mergeCell ref="J4:K4"/>
    <mergeCell ref="B56:K56"/>
    <mergeCell ref="B58:K58"/>
    <mergeCell ref="B2:K2"/>
    <mergeCell ref="B60:K60"/>
    <mergeCell ref="B57:K57"/>
    <mergeCell ref="B1:K1"/>
    <mergeCell ref="C5:E5"/>
    <mergeCell ref="C4:E4"/>
    <mergeCell ref="H5:I5"/>
  </mergeCells>
  <conditionalFormatting sqref="G9:G13">
    <cfRule type="cellIs" priority="7" operator="greaterThan" dxfId="18">
      <formula>0</formula>
    </cfRule>
  </conditionalFormatting>
  <conditionalFormatting sqref="G18:G32">
    <cfRule type="cellIs" priority="11" operator="greaterThan" dxfId="18">
      <formula>0</formula>
    </cfRule>
  </conditionalFormatting>
  <conditionalFormatting sqref="G37:G47">
    <cfRule type="cellIs" priority="15" operator="greaterThan" dxfId="18">
      <formula>0</formula>
    </cfRule>
  </conditionalFormatting>
  <conditionalFormatting sqref="G51:G53">
    <cfRule type="cellIs" priority="19" operator="greaterThan" dxfId="18">
      <formula>0</formula>
    </cfRule>
  </conditionalFormatting>
  <conditionalFormatting sqref="H9:H13">
    <cfRule type="cellIs" priority="8" operator="greaterThan" dxfId="23">
      <formula>0</formula>
    </cfRule>
  </conditionalFormatting>
  <conditionalFormatting sqref="H18:H32">
    <cfRule type="cellIs" priority="12" operator="greaterThan" dxfId="23">
      <formula>0</formula>
    </cfRule>
  </conditionalFormatting>
  <conditionalFormatting sqref="H37:H47">
    <cfRule type="cellIs" priority="16" operator="greaterThan" dxfId="23">
      <formula>0</formula>
    </cfRule>
  </conditionalFormatting>
  <conditionalFormatting sqref="H51:H53">
    <cfRule type="cellIs" priority="20" operator="greaterThan" dxfId="23">
      <formula>0</formula>
    </cfRule>
  </conditionalFormatting>
  <conditionalFormatting sqref="H5:I5">
    <cfRule type="cellIs" priority="4" operator="greaterThan" dxfId="22">
      <formula>0</formula>
    </cfRule>
  </conditionalFormatting>
  <conditionalFormatting sqref="J9:J13">
    <cfRule type="colorScale" priority="5">
      <colorScale>
        <cfvo type="num" val="0"/>
        <cfvo type="num" val="1"/>
        <color rgb="FFFFFFFF"/>
        <color rgb="FF7FD1A1"/>
      </colorScale>
    </cfRule>
  </conditionalFormatting>
  <conditionalFormatting sqref="J18:J32">
    <cfRule type="colorScale" priority="9">
      <colorScale>
        <cfvo type="num" val="0"/>
        <cfvo type="num" val="1"/>
        <color rgb="FFFFFFFF"/>
        <color rgb="FF7FD1A1"/>
      </colorScale>
    </cfRule>
  </conditionalFormatting>
  <conditionalFormatting sqref="J37:J47">
    <cfRule type="colorScale" priority="13">
      <colorScale>
        <cfvo type="num" val="0"/>
        <cfvo type="num" val="1"/>
        <color rgb="FFFFFFFF"/>
        <color rgb="FF7FD1A1"/>
      </colorScale>
    </cfRule>
  </conditionalFormatting>
  <conditionalFormatting sqref="J51:J53">
    <cfRule type="colorScale" priority="17">
      <colorScale>
        <cfvo type="num" val="0"/>
        <cfvo type="num" val="1"/>
        <color rgb="FFFFFFFF"/>
        <color rgb="FF7FD1A1"/>
      </colorScale>
    </cfRule>
  </conditionalFormatting>
  <conditionalFormatting sqref="J5:K5">
    <cfRule type="expression" priority="1" dxfId="5">
      <formula>LEFT($J$5,8)="NON PRÊT"</formula>
    </cfRule>
    <cfRule type="expression" priority="2" dxfId="4">
      <formula>LEFT($J$5,8)="EN COURS"</formula>
    </cfRule>
    <cfRule type="expression" priority="3" dxfId="1">
      <formula>LEFT($J$5,4)="PRÊT"</formula>
    </cfRule>
  </conditionalFormatting>
  <conditionalFormatting sqref="K9:K13">
    <cfRule type="colorScale" priority="6">
      <colorScale>
        <cfvo type="num" val="0"/>
        <cfvo type="num" val="0.5"/>
        <cfvo type="num" val="1"/>
        <color rgb="FFF8CBAD"/>
        <color rgb="FFFFF2CC"/>
        <color rgb="FF7FD1A1"/>
      </colorScale>
    </cfRule>
  </conditionalFormatting>
  <conditionalFormatting sqref="K18:K32">
    <cfRule type="colorScale" priority="10">
      <colorScale>
        <cfvo type="num" val="0"/>
        <cfvo type="num" val="0.5"/>
        <cfvo type="num" val="1"/>
        <color rgb="FFF8CBAD"/>
        <color rgb="FFFFF2CC"/>
        <color rgb="FF7FD1A1"/>
      </colorScale>
    </cfRule>
  </conditionalFormatting>
  <conditionalFormatting sqref="K37:K47">
    <cfRule type="colorScale" priority="14">
      <colorScale>
        <cfvo type="num" val="0"/>
        <cfvo type="num" val="0.5"/>
        <cfvo type="num" val="1"/>
        <color rgb="FFF8CBAD"/>
        <color rgb="FFFFF2CC"/>
        <color rgb="FF7FD1A1"/>
      </colorScale>
    </cfRule>
  </conditionalFormatting>
  <conditionalFormatting sqref="K51:K53">
    <cfRule type="colorScale" priority="18">
      <colorScale>
        <cfvo type="num" val="0"/>
        <cfvo type="num" val="0.5"/>
        <cfvo type="num" val="1"/>
        <color rgb="FFF8CBAD"/>
        <color rgb="FFFFF2CC"/>
        <color rgb="FF7FD1A1"/>
      </colorScale>
    </cfRule>
  </conditionalFormatting>
  <pageMargins left="0.4" right="0.4" top="1" bottom="1" header="0.5" footer="0.5"/>
  <pageSetup orientation="landscape" paperSize="9" fitToHeight="0"/>
  <headerFooter>
    <oddHeader/>
    <oddFooter>&amp;LAgri-Digit Bénin · Cahier de recette&amp;RPage &amp;P /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FF0B5D3B"/>
    <outlinePr summaryBelow="1" summaryRight="1"/>
    <pageSetUpPr fitToPage="1"/>
  </sheetPr>
  <dimension ref="A1:O300"/>
  <sheetViews>
    <sheetView tabSelected="1" workbookViewId="0">
      <pane xSplit="1" ySplit="4" topLeftCell="B135" activePane="bottomRight" state="frozen"/>
      <selection pane="topRight" activeCell="A1" sqref="A1"/>
      <selection pane="bottomLeft" activeCell="A1" sqref="A1"/>
      <selection pane="bottomRight" activeCell="E139" sqref="E139"/>
    </sheetView>
  </sheetViews>
  <sheetFormatPr baseColWidth="10" defaultColWidth="8.88671875" defaultRowHeight="14.4"/>
  <cols>
    <col width="10" customWidth="1" style="73" min="1" max="1"/>
    <col width="16" customWidth="1" style="73" min="2" max="2"/>
    <col width="24" customWidth="1" style="73" min="3" max="3"/>
    <col width="19" customWidth="1" style="73" min="4" max="4"/>
    <col width="22" customWidth="1" style="73" min="5" max="5"/>
    <col width="10" customWidth="1" style="73" min="6" max="6"/>
    <col width="30" customWidth="1" style="73" min="7" max="7"/>
    <col width="52" customWidth="1" style="73" min="8" max="8"/>
    <col width="46" customWidth="1" style="73" min="9" max="9"/>
    <col width="32" customWidth="1" style="73" min="10" max="10"/>
    <col width="14" customWidth="1" style="73" min="11" max="12"/>
    <col width="12" customWidth="1" style="73" min="13" max="14"/>
    <col width="30" customWidth="1" style="73" min="15" max="15"/>
  </cols>
  <sheetData>
    <row r="1" ht="34.05" customHeight="1" s="73">
      <c r="A1" s="89" t="inlineStr">
        <is>
          <t>Cahier de recette · Cas de test</t>
        </is>
      </c>
    </row>
    <row r="2" ht="22.05" customHeight="1" s="73">
      <c r="A2" s="91" t="str">
        <f>"Cas : "&amp;COUNTA(A5:A300)&amp;"   ·   OK : "&amp;COUNTIF(K5:K300,"OK")&amp;"   ·   KO : "&amp;COUNTIF(K5:K300,"KO")&amp;"   ·   Bloqués : "&amp;COUNTIF(K5:K300,"Bloqué")&amp;"   ·   À tester : "&amp;COUNTIF(K5:K300,"À tester")</f>
        <v>Cas : 134   ·   OK : 122   ·   KO : 0   ·   Bloqués : 1   ·   À tester : 2</v>
      </c>
    </row>
    <row r="3" ht="18" customHeight="1" s="73">
      <c r="A3" s="90" t="inlineStr">
        <is>
          <t>CAS DE TEST · à ne pas modifier</t>
        </is>
      </c>
      <c r="J3" s="92" t="inlineStr">
        <is>
          <t>RÉSULTATS · à renseigner par le testeur</t>
        </is>
      </c>
    </row>
    <row r="4" ht="34.05" customHeight="1" s="73">
      <c r="A4" s="2" t="inlineStr">
        <is>
          <t>N°</t>
        </is>
      </c>
      <c r="B4" s="2" t="inlineStr">
        <is>
          <t>Catégorie</t>
        </is>
      </c>
      <c r="C4" s="2" t="inlineStr">
        <is>
          <t>Module</t>
        </is>
      </c>
      <c r="D4" s="2" t="inlineStr">
        <is>
          <t>Page / route</t>
        </is>
      </c>
      <c r="E4" s="2" t="inlineStr">
        <is>
          <t>Rôle</t>
        </is>
      </c>
      <c r="F4" s="2" t="inlineStr">
        <is>
          <t>Priorité</t>
        </is>
      </c>
      <c r="G4" s="2" t="inlineStr">
        <is>
          <t>Pré-conditions</t>
        </is>
      </c>
      <c r="H4" s="2" t="inlineStr">
        <is>
          <t>Étapes</t>
        </is>
      </c>
      <c r="I4" s="2" t="inlineStr">
        <is>
          <t>Résultat attendu</t>
        </is>
      </c>
      <c r="J4" s="37" t="inlineStr">
        <is>
          <t>Résultat obtenu</t>
        </is>
      </c>
      <c r="K4" s="37" t="inlineStr">
        <is>
          <t>Statut</t>
        </is>
      </c>
      <c r="L4" s="37" t="inlineStr">
        <is>
          <t>Testeur</t>
        </is>
      </c>
      <c r="M4" s="37" t="inlineStr">
        <is>
          <t>Date</t>
        </is>
      </c>
      <c r="N4" s="37" t="inlineStr">
        <is>
          <t>N° anomalie</t>
        </is>
      </c>
      <c r="O4" s="37" t="inlineStr">
        <is>
          <t>Commentaires</t>
        </is>
      </c>
    </row>
    <row r="5" ht="84.75" customHeight="1" s="73">
      <c r="A5" s="38" t="inlineStr">
        <is>
          <t>REG-01</t>
        </is>
      </c>
      <c r="B5" s="39" t="inlineStr">
        <is>
          <t>Enregistrement</t>
        </is>
      </c>
      <c r="C5" s="40" t="inlineStr">
        <is>
          <t>Registre acteurs et actifs</t>
        </is>
      </c>
      <c r="D5" s="41" t="inlineStr">
        <is>
          <t>/inscription</t>
        </is>
      </c>
      <c r="E5" s="41" t="inlineStr">
        <is>
          <t>Public (non connecté)</t>
        </is>
      </c>
      <c r="F5" s="42" t="inlineStr">
        <is>
          <t>P1</t>
        </is>
      </c>
      <c r="G5" s="41" t="inlineStr">
        <is>
          <t>Être déconnecté. Téléphone 0197000099 libre.</t>
        </is>
      </c>
      <c r="H5" s="41" t="inlineStr">
        <is>
          <t>1. Ouvrir « S'inscrire ».
2. NPI 1000000002, Awa SABI, sexe F, né(e) le 1990-07-01, Alibori, Banikoara, téléphone 0197000099, langue français.
3. Cocher le consentement (présenté à part) puis valider.</t>
        </is>
      </c>
      <c r="I5" s="41" t="inlineStr">
        <is>
          <t>Fiche créée au statut « en attente » (code de la forme BJ-AGR-2026-0000xx). L'aide sous le NPI et le récapitulatif rappellent que l'ANIP est simulée.</t>
        </is>
      </c>
      <c r="J5" s="43" t="n"/>
      <c r="K5" s="44" t="inlineStr">
        <is>
          <t>OK</t>
        </is>
      </c>
      <c r="L5" s="44" t="n"/>
      <c r="M5" s="45" t="n"/>
      <c r="N5" s="44" t="n"/>
      <c r="O5" s="43" t="n"/>
    </row>
    <row r="6" ht="138" customHeight="1" s="73">
      <c r="A6" s="38" t="inlineStr">
        <is>
          <t>REG-02</t>
        </is>
      </c>
      <c r="B6" s="39" t="inlineStr">
        <is>
          <t>Enregistrement</t>
        </is>
      </c>
      <c r="C6" s="40" t="inlineStr">
        <is>
          <t>Registre acteurs et actifs</t>
        </is>
      </c>
      <c r="D6" s="41" t="inlineStr">
        <is>
          <t>/inscription</t>
        </is>
      </c>
      <c r="E6" s="41" t="inlineStr">
        <is>
          <t>Public (non connecté)</t>
        </is>
      </c>
      <c r="F6" s="42" t="inlineStr">
        <is>
          <t>P2</t>
        </is>
      </c>
      <c r="G6" s="41" t="inlineStr">
        <is>
          <t>Être déconnecté.</t>
        </is>
      </c>
      <c r="H6" s="41" t="inlineStr">
        <is>
          <t>1. Ouvrir « S'inscrire ».
2. Saisir le NPI 1000000004.</t>
        </is>
      </c>
      <c r="I6" s="41" t="inlineStr">
        <is>
          <t>La demande de consentement parental s'affiche.</t>
        </is>
      </c>
      <c r="J6" s="43" t="inlineStr">
        <is>
          <t>Formulaire d'inscription avec une personne née en 2011 : à l'étape 4 « Consentement » apparaît « Moins de 16 ans : parent ou tuteur légal — Le consentement d'un titulaire de l'autorité parentale est obligatoire (loi n° 2017-20, art. 446) » avec les champs nom et NPI du parent ou tuteur ; le serveur refuse sans eux (400 guardian_required).</t>
        </is>
      </c>
      <c r="K6" s="44" t="inlineStr">
        <is>
          <t>OK</t>
        </is>
      </c>
      <c r="L6" s="44" t="inlineStr">
        <is>
          <t>Claude (essai automatisé)</t>
        </is>
      </c>
      <c r="M6" s="45" t="n">
        <v>46323</v>
      </c>
      <c r="N6" s="44" t="n"/>
      <c r="O6" s="43" t="inlineStr">
        <is>
          <t>La demande apparaît à l'étape Consentement d'après la date de naissance, pas dès la saisie du NPI comme le dit le cahier.</t>
        </is>
      </c>
    </row>
    <row r="7" ht="46.35" customHeight="1" s="73">
      <c r="A7" s="38" t="inlineStr">
        <is>
          <t>REG-03</t>
        </is>
      </c>
      <c r="B7" s="39" t="inlineStr">
        <is>
          <t>Enregistrement</t>
        </is>
      </c>
      <c r="C7" s="40" t="inlineStr">
        <is>
          <t>Registre acteurs et actifs</t>
        </is>
      </c>
      <c r="D7" s="41" t="inlineStr">
        <is>
          <t>/inscription</t>
        </is>
      </c>
      <c r="E7" s="41" t="inlineStr">
        <is>
          <t>Public (non connecté)</t>
        </is>
      </c>
      <c r="F7" s="42" t="inlineStr">
        <is>
          <t>P2</t>
        </is>
      </c>
      <c r="G7" s="41" t="inlineStr">
        <is>
          <t>Être déconnecté.</t>
        </is>
      </c>
      <c r="H7" s="41" t="inlineStr">
        <is>
          <t>1. Remplir le formulaire d'inscription sans cocher le consentement.
2. Tenter de valider.</t>
        </is>
      </c>
      <c r="I7" s="41" t="inlineStr">
        <is>
          <t>L'inscription est impossible tant que le consentement n'est pas donné (bouton inactif ou message).</t>
        </is>
      </c>
      <c r="J7" s="43" t="n"/>
      <c r="K7" s="44" t="inlineStr">
        <is>
          <t>OK</t>
        </is>
      </c>
      <c r="L7" s="44" t="n"/>
      <c r="M7" s="45" t="n"/>
      <c r="N7" s="44" t="n"/>
      <c r="O7" s="43" t="n"/>
    </row>
    <row r="8" ht="59.25" customHeight="1" s="73">
      <c r="A8" s="38" t="inlineStr">
        <is>
          <t>REG-04</t>
        </is>
      </c>
      <c r="B8" s="39" t="inlineStr">
        <is>
          <t>Enregistrement</t>
        </is>
      </c>
      <c r="C8" s="40" t="inlineStr">
        <is>
          <t>Registre acteurs et actifs</t>
        </is>
      </c>
      <c r="D8" s="41" t="inlineStr">
        <is>
          <t>/producteurs</t>
        </is>
      </c>
      <c r="E8" s="41" t="inlineStr">
        <is>
          <t>Agent ATDA</t>
        </is>
      </c>
      <c r="F8" s="42" t="inlineStr">
        <is>
          <t>P1</t>
        </is>
      </c>
      <c r="G8" s="41" t="inlineStr">
        <is>
          <t>Connecté (téléphone 0197000002). Inscription d'Awa SABI faite (REG-01).</t>
        </is>
      </c>
      <c r="H8" s="41" t="inlineStr">
        <is>
          <t>1. Ouvrir « Producteurs » : liste des producteurs en attente de l'Alibori.
2. Ouvrir la fiche d'Awa SABI.
3. Cliquer « Valider ».</t>
        </is>
      </c>
      <c r="I8" s="41" t="inlineStr">
        <is>
          <t>La fiche passe à « validée ». Le producteur reçoit une notification ; le SMS simulé apparaît dans « Boîte d'envoi ».</t>
        </is>
      </c>
      <c r="J8" s="43" t="n"/>
      <c r="K8" s="44" t="inlineStr">
        <is>
          <t>OK</t>
        </is>
      </c>
      <c r="L8" s="44" t="n"/>
      <c r="M8" s="45" t="n"/>
      <c r="N8" s="44" t="n"/>
      <c r="O8" s="43" t="n"/>
    </row>
    <row r="9" ht="46.35" customHeight="1" s="73">
      <c r="A9" s="38" t="inlineStr">
        <is>
          <t>REG-05</t>
        </is>
      </c>
      <c r="B9" s="39" t="inlineStr">
        <is>
          <t>Enregistrement</t>
        </is>
      </c>
      <c r="C9" s="40" t="inlineStr">
        <is>
          <t>Registre acteurs et actifs</t>
        </is>
      </c>
      <c r="D9" s="41" t="inlineStr">
        <is>
          <t>/producteurs</t>
        </is>
      </c>
      <c r="E9" s="41" t="inlineStr">
        <is>
          <t>Agent ATDA</t>
        </is>
      </c>
      <c r="F9" s="42" t="inlineStr">
        <is>
          <t>P1</t>
        </is>
      </c>
      <c r="G9" s="41" t="inlineStr">
        <is>
          <t>Connecté (téléphone 0197000002).</t>
        </is>
      </c>
      <c r="H9" s="41" t="inlineStr">
        <is>
          <t>1. Parcourir la liste des producteurs.
2. Ouvrir une fiche (/producteurs/:id).</t>
        </is>
      </c>
      <c r="I9" s="41" t="inlineStr">
        <is>
          <t>Seuls les producteurs du département de l'agent (Alibori) sont visibles. La fiche s'ouvre sans erreur.</t>
        </is>
      </c>
      <c r="J9" s="43" t="n"/>
      <c r="K9" s="44" t="inlineStr">
        <is>
          <t>OK</t>
        </is>
      </c>
      <c r="L9" s="44" t="n"/>
      <c r="M9" s="45" t="n"/>
      <c r="N9" s="44" t="n"/>
      <c r="O9" s="43" t="n"/>
    </row>
    <row r="10" ht="33.6" customHeight="1" s="73">
      <c r="A10" s="38" t="inlineStr">
        <is>
          <t>REG-06</t>
        </is>
      </c>
      <c r="B10" s="39" t="inlineStr">
        <is>
          <t>Enregistrement</t>
        </is>
      </c>
      <c r="C10" s="40" t="inlineStr">
        <is>
          <t>Registre acteurs et actifs</t>
        </is>
      </c>
      <c r="D10" s="41" t="inlineStr">
        <is>
          <t>/ma-carte</t>
        </is>
      </c>
      <c r="E10" s="41" t="inlineStr">
        <is>
          <t>Producteur</t>
        </is>
      </c>
      <c r="F10" s="42" t="inlineStr">
        <is>
          <t>P1</t>
        </is>
      </c>
      <c r="G10" s="41" t="inlineStr">
        <is>
          <t>Connecté (téléphone 0197000001).</t>
        </is>
      </c>
      <c r="H10" s="41" t="inlineStr">
        <is>
          <t>1. Ouvrir « Ma carte ».</t>
        </is>
      </c>
      <c r="I10" s="41" t="inlineStr">
        <is>
          <t>La carte affiche un code de vérification de 8 caractères et l'adresse de vérification.</t>
        </is>
      </c>
      <c r="J10" s="43" t="n"/>
      <c r="K10" s="44" t="inlineStr">
        <is>
          <t>OK</t>
        </is>
      </c>
      <c r="L10" s="44" t="n"/>
      <c r="M10" s="45" t="n"/>
      <c r="N10" s="44" t="n"/>
      <c r="O10" s="43" t="n"/>
    </row>
    <row r="11" ht="33.6" customHeight="1" s="73">
      <c r="A11" s="38" t="inlineStr">
        <is>
          <t>REG-07</t>
        </is>
      </c>
      <c r="B11" s="39" t="inlineStr">
        <is>
          <t>Enregistrement</t>
        </is>
      </c>
      <c r="C11" s="40" t="inlineStr">
        <is>
          <t>Registre acteurs et actifs</t>
        </is>
      </c>
      <c r="D11" s="41" t="inlineStr">
        <is>
          <t>/verification/:code</t>
        </is>
      </c>
      <c r="E11" s="41" t="inlineStr">
        <is>
          <t>Public (non connecté)</t>
        </is>
      </c>
      <c r="F11" s="42" t="inlineStr">
        <is>
          <t>P1</t>
        </is>
      </c>
      <c r="G11" s="41" t="inlineStr">
        <is>
          <t>Code lu sur « Ma carte ». Être déconnecté.</t>
        </is>
      </c>
      <c r="H11" s="41" t="inlineStr">
        <is>
          <t>1. Ouvrir /verification/&lt;code&gt;.</t>
        </is>
      </c>
      <c r="I11" s="41" t="inlineStr">
        <is>
          <t>Seuls le statut et le nom apparaissent, aucune autre donnée personnelle.</t>
        </is>
      </c>
      <c r="J11" s="43" t="n"/>
      <c r="K11" s="44" t="inlineStr">
        <is>
          <t>OK</t>
        </is>
      </c>
      <c r="L11" s="44" t="n"/>
      <c r="M11" s="45" t="n"/>
      <c r="N11" s="44" t="n"/>
      <c r="O11" s="43" t="n"/>
    </row>
    <row r="12" ht="33.6" customHeight="1" s="73">
      <c r="A12" s="38" t="inlineStr">
        <is>
          <t>REG-08</t>
        </is>
      </c>
      <c r="B12" s="39" t="inlineStr">
        <is>
          <t>Enregistrement</t>
        </is>
      </c>
      <c r="C12" s="40" t="inlineStr">
        <is>
          <t>Registre acteurs et actifs</t>
        </is>
      </c>
      <c r="D12" s="41" t="inlineStr">
        <is>
          <t>/ma-carte</t>
        </is>
      </c>
      <c r="E12" s="41" t="inlineStr">
        <is>
          <t>Producteur</t>
        </is>
      </c>
      <c r="F12" s="42" t="inlineStr">
        <is>
          <t>P2</t>
        </is>
      </c>
      <c r="G12" s="41" t="inlineStr">
        <is>
          <t>Producteur dont la fiche n'est pas validée.</t>
        </is>
      </c>
      <c r="H12" s="41" t="inlineStr">
        <is>
          <t>1. Ouvrir « Ma carte ».</t>
        </is>
      </c>
      <c r="I12" s="41" t="inlineStr">
        <is>
          <t>Une fiche non validée n'a pas de carte.</t>
        </is>
      </c>
      <c r="J12" s="43" t="n"/>
      <c r="K12" s="44" t="inlineStr">
        <is>
          <t>OK</t>
        </is>
      </c>
      <c r="L12" s="44" t="n"/>
      <c r="M12" s="45" t="n"/>
      <c r="N12" s="44" t="n"/>
      <c r="O12" s="43" t="n"/>
    </row>
    <row r="13" ht="33.6" customHeight="1" s="73">
      <c r="A13" s="38" t="inlineStr">
        <is>
          <t>REG-09</t>
        </is>
      </c>
      <c r="B13" s="39" t="inlineStr">
        <is>
          <t>Enregistrement</t>
        </is>
      </c>
      <c r="C13" s="40" t="inlineStr">
        <is>
          <t>Registre acteurs et actifs</t>
        </is>
      </c>
      <c r="D13" s="41" t="inlineStr">
        <is>
          <t>/ma-carte</t>
        </is>
      </c>
      <c r="E13" s="41" t="inlineStr">
        <is>
          <t>Producteur</t>
        </is>
      </c>
      <c r="F13" s="42" t="inlineStr">
        <is>
          <t>P3</t>
        </is>
      </c>
      <c r="G13" s="41" t="inlineStr">
        <is>
          <t>Connecté (téléphone 0197000001).</t>
        </is>
      </c>
      <c r="H13" s="41" t="inlineStr">
        <is>
          <t>1. Ouvrir « Ma carte », cliquer « Partager le lien ».</t>
        </is>
      </c>
      <c r="I13" s="41" t="inlineStr">
        <is>
          <t>La feuille de partage du téléphone s'ouvre, ou le lien est copié.</t>
        </is>
      </c>
      <c r="J13" s="43" t="n"/>
      <c r="K13" s="44" t="inlineStr">
        <is>
          <t>OK</t>
        </is>
      </c>
      <c r="L13" s="44" t="n"/>
      <c r="M13" s="45" t="n"/>
      <c r="N13" s="44" t="n"/>
      <c r="O13" s="43" t="n"/>
    </row>
    <row r="14" ht="59.25" customHeight="1" s="73">
      <c r="A14" s="38" t="inlineStr">
        <is>
          <t>REG-10</t>
        </is>
      </c>
      <c r="B14" s="39" t="inlineStr">
        <is>
          <t>Enregistrement</t>
        </is>
      </c>
      <c r="C14" s="40" t="inlineStr">
        <is>
          <t>Registre acteurs et actifs</t>
        </is>
      </c>
      <c r="D14" s="41" t="inlineStr">
        <is>
          <t>/cooperatives</t>
        </is>
      </c>
      <c r="E14" s="41" t="inlineStr">
        <is>
          <t>Gestionnaire de coopérative</t>
        </is>
      </c>
      <c r="F14" s="42" t="inlineStr">
        <is>
          <t>P1</t>
        </is>
      </c>
      <c r="G14" s="41" t="inlineStr">
        <is>
          <t>Connecté (téléphone 0197000008). Producteur validé de l'Alibori non encore membre (ex. Awa SABI).</t>
        </is>
      </c>
      <c r="H14" s="41" t="inlineStr">
        <is>
          <t>1. Ouvrir sa coopérative.
2. Ajouter le producteur par son code.
3. Mettre fin à l'adhésion avec un motif.
4. Ouvrir la vue « Historique (adhésions terminées) ».</t>
        </is>
      </c>
      <c r="I14" s="41" t="inlineStr">
        <is>
          <t>Le membre est ajouté puis son adhésion terminée ; l'historique reste visible. Le producteur retrouve ses adhésions dans « Mes coopératives ».</t>
        </is>
      </c>
      <c r="J14" s="43" t="n"/>
      <c r="K14" s="44" t="inlineStr">
        <is>
          <t>OK</t>
        </is>
      </c>
      <c r="L14" s="44" t="n"/>
      <c r="M14" s="45" t="n"/>
      <c r="N14" s="44" t="n"/>
      <c r="O14" s="43" t="n"/>
    </row>
    <row r="15" ht="125" customHeight="1" s="73">
      <c r="A15" s="38" t="inlineStr">
        <is>
          <t>REG-11</t>
        </is>
      </c>
      <c r="B15" s="39" t="inlineStr">
        <is>
          <t>Enregistrement</t>
        </is>
      </c>
      <c r="C15" s="40" t="inlineStr">
        <is>
          <t>Registre acteurs et actifs</t>
        </is>
      </c>
      <c r="D15" s="41" t="inlineStr">
        <is>
          <t>/mes-cooperatives</t>
        </is>
      </c>
      <c r="E15" s="41" t="inlineStr">
        <is>
          <t>Producteur + Gestionnaire de coopérative</t>
        </is>
      </c>
      <c r="F15" s="42" t="inlineStr">
        <is>
          <t>P2</t>
        </is>
      </c>
      <c r="G15" s="41" t="inlineStr">
        <is>
          <t>Producteur sans adhésion à la coopérative visée.</t>
        </is>
      </c>
      <c r="H15" s="41" t="inlineStr">
        <is>
          <t>1. Producteur : « Mes coopératives », « Demander à adhérer » (message facultatif, accord sur ce que la coopérative voit).
2. Gestionnaire (0197000008) : sa coopérative, onglet « Demandes d'adhésion », accepter ou refuser avec un motif.</t>
        </is>
      </c>
      <c r="I15" s="41" t="inlineStr">
        <is>
          <t>L'acceptation crée l'adhésion ; le refus exige un motif. Le producteur est prévenu dans les deux cas.</t>
        </is>
      </c>
      <c r="J15" s="43" t="inlineStr">
        <is>
          <t>Demande d'adhésion déposée (201) et vue par le gestionnaire ; refus sans motif refusé (400 reason_required) ; refus avec motif accepté ; nouvelle demande acceptée : adhésion créée (1). Titres des notifications du producteur : Adhésion, Adhésion, Remboursement reçu, Remboursement reçu.</t>
        </is>
      </c>
      <c r="K15" s="44" t="inlineStr">
        <is>
          <t>OK</t>
        </is>
      </c>
      <c r="L15" s="44" t="inlineStr">
        <is>
          <t>Claude (essai automatisé)</t>
        </is>
      </c>
      <c r="M15" s="45" t="n">
        <v>46323</v>
      </c>
      <c r="N15" s="44" t="n"/>
      <c r="O15" s="43" t="inlineStr">
        <is>
          <t>Vérifié par l'API.</t>
        </is>
      </c>
    </row>
    <row r="16" ht="60" customHeight="1" s="73">
      <c r="A16" s="38" t="inlineStr">
        <is>
          <t>REG-12</t>
        </is>
      </c>
      <c r="B16" s="39" t="inlineStr">
        <is>
          <t>Enregistrement</t>
        </is>
      </c>
      <c r="C16" s="40" t="inlineStr">
        <is>
          <t>Registre acteurs et actifs</t>
        </is>
      </c>
      <c r="D16" s="41" t="inlineStr">
        <is>
          <t>/mes-cooperatives</t>
        </is>
      </c>
      <c r="E16" s="41" t="inlineStr">
        <is>
          <t>Producteur</t>
        </is>
      </c>
      <c r="F16" s="42" t="inlineStr">
        <is>
          <t>P2</t>
        </is>
      </c>
      <c r="G16" s="41" t="inlineStr">
        <is>
          <t>Connecté (téléphone 0197000001). (Bio GOUNOU, président).</t>
        </is>
      </c>
      <c r="H16" s="41" t="inlineStr">
        <is>
          <t>1. Ouvrir « Mes coopératives » puis « Gérer la coopérative ».</t>
        </is>
      </c>
      <c r="I16" s="41" t="inlineStr">
        <is>
          <t>Le président voit membres et demandes d'adhésion comme le gestionnaire, sans pouvoir décider de sa propre demande.</t>
        </is>
      </c>
      <c r="J16" s="43" t="inlineStr">
        <is>
          <t>Le président (Bio GOUNOU) accède à sa coopérative (200), à ses membres (200) et aux demandes d'adhésion (200).</t>
        </is>
      </c>
      <c r="K16" s="44" t="inlineStr">
        <is>
          <t>OK</t>
        </is>
      </c>
      <c r="L16" s="44" t="inlineStr">
        <is>
          <t>Claude (essai automatisé)</t>
        </is>
      </c>
      <c r="M16" s="45" t="n">
        <v>46323</v>
      </c>
      <c r="N16" s="44" t="n"/>
      <c r="O16" s="43" t="inlineStr">
        <is>
          <t>Vérifié par l'API ; l'impossibilité de décider de sa propre demande n'a pas été rejouée.</t>
        </is>
      </c>
    </row>
    <row r="17" ht="86" customHeight="1" s="73">
      <c r="A17" s="38" t="inlineStr">
        <is>
          <t>REG-13</t>
        </is>
      </c>
      <c r="B17" s="39" t="inlineStr">
        <is>
          <t>Enregistrement</t>
        </is>
      </c>
      <c r="C17" s="40" t="inlineStr">
        <is>
          <t>Registre acteurs et actifs</t>
        </is>
      </c>
      <c r="D17" s="41" t="inlineStr">
        <is>
          <t>/organisations</t>
        </is>
      </c>
      <c r="E17" s="41" t="inlineStr">
        <is>
          <t>Agent ATDA</t>
        </is>
      </c>
      <c r="F17" s="42" t="inlineStr">
        <is>
          <t>P2</t>
        </is>
      </c>
      <c r="G17" s="41" t="inlineStr">
        <is>
          <t>Connecté (téléphone 0197000002).</t>
        </is>
      </c>
      <c r="H17" s="41" t="inlineStr">
        <is>
          <t>1. Ouvrir « Organisations de filière ».
2. Ouvrir « Union communale des producteurs de maïs de Banikoara [démo] ».
3. Ajouter une réunion.</t>
        </is>
      </c>
      <c r="I17" s="41" t="inlineStr">
        <is>
          <t>Coopératives membres, effectifs, prix convenu et formation sont affichés ; la réunion ajoutée apparaît dans la liste.</t>
        </is>
      </c>
      <c r="J17" s="43" t="inlineStr">
        <is>
          <t>Organisation « Union communale des producteurs de maïs de Banikoara [démo] » : effectifs {'cooperatives': 1, 'producers': 6, 'women': 1} ; réunion ajoutée (201), visible dans la liste.</t>
        </is>
      </c>
      <c r="K17" s="44" t="inlineStr">
        <is>
          <t>OK</t>
        </is>
      </c>
      <c r="L17" s="44" t="inlineStr">
        <is>
          <t>Claude (essai automatisé)</t>
        </is>
      </c>
      <c r="M17" s="45" t="n">
        <v>46323</v>
      </c>
      <c r="N17" s="44" t="n"/>
      <c r="O17" s="43" t="inlineStr">
        <is>
          <t>Vérifié par l'API.</t>
        </is>
      </c>
    </row>
    <row r="18" ht="60" customHeight="1" s="73">
      <c r="A18" s="38" t="inlineStr">
        <is>
          <t>REG-14</t>
        </is>
      </c>
      <c r="B18" s="39" t="inlineStr">
        <is>
          <t>Enregistrement</t>
        </is>
      </c>
      <c r="C18" s="40" t="inlineStr">
        <is>
          <t>Registre acteurs et actifs</t>
        </is>
      </c>
      <c r="D18" s="41" t="inlineStr">
        <is>
          <t>/materiels</t>
        </is>
      </c>
      <c r="E18" s="41" t="inlineStr">
        <is>
          <t>Producteur</t>
        </is>
      </c>
      <c r="F18" s="42" t="inlineStr">
        <is>
          <t>P2</t>
        </is>
      </c>
      <c r="G18" s="41" t="inlineStr">
        <is>
          <t>Connecté (téléphone 0197000001).</t>
        </is>
      </c>
      <c r="H18" s="41" t="inlineStr">
        <is>
          <t>1. Ouvrir « Mon matériel », déclarer un tracteur.
2. Cliquer « Proposer à la location » et saisir un tarif par hectare.</t>
        </is>
      </c>
      <c r="I18" s="41" t="inlineStr">
        <is>
          <t>Le matériel est enregistré (type, nombre, état) et proposé à la location au tarif saisi.</t>
        </is>
      </c>
      <c r="J18" s="43" t="inlineStr">
        <is>
          <t>Tracteur enregistré (201) et proposé à la location à 25 000 FCFA/ha ; la location sans tarif est refusée (400).</t>
        </is>
      </c>
      <c r="K18" s="44" t="inlineStr">
        <is>
          <t>OK</t>
        </is>
      </c>
      <c r="L18" s="44" t="inlineStr">
        <is>
          <t>Claude (essai automatisé)</t>
        </is>
      </c>
      <c r="M18" s="45" t="n">
        <v>46323</v>
      </c>
      <c r="N18" s="44" t="n"/>
      <c r="O18" s="43" t="inlineStr">
        <is>
          <t>Vérifié par l'API.</t>
        </is>
      </c>
    </row>
    <row r="19" ht="73" customHeight="1" s="73">
      <c r="A19" s="38" t="inlineStr">
        <is>
          <t>REG-15</t>
        </is>
      </c>
      <c r="B19" s="39" t="inlineStr">
        <is>
          <t>Enregistrement</t>
        </is>
      </c>
      <c r="C19" s="40" t="inlineStr">
        <is>
          <t>Registre acteurs et actifs</t>
        </is>
      </c>
      <c r="D19" s="41" t="inlineStr">
        <is>
          <t>/materiels</t>
        </is>
      </c>
      <c r="E19" s="41" t="inlineStr">
        <is>
          <t>Agent ATDA</t>
        </is>
      </c>
      <c r="F19" s="42" t="inlineStr">
        <is>
          <t>P2</t>
        </is>
      </c>
      <c r="G19" s="41" t="inlineStr">
        <is>
          <t>Connecté (téléphone 0197000002). Matériel déclaré (REG-14).</t>
        </is>
      </c>
      <c r="H19" s="41" t="inlineStr">
        <is>
          <t>1. Ouvrir « Matériel agricole ».
2. Filtrer par type.</t>
        </is>
      </c>
      <c r="I19" s="41" t="inlineStr">
        <is>
          <t>Le matériel est vu par département et type avec le seul code producteur : aucun nom ni téléphone.</t>
        </is>
      </c>
      <c r="J19" s="43" t="inlineStr">
        <is>
          <t>L'agent voit 2 matériels de type tracteur dans son département, avec type, état, tarif, commune et le seul code producteur (BJ-AGR-…) : aucun nom ni téléphone.</t>
        </is>
      </c>
      <c r="K19" s="44" t="inlineStr">
        <is>
          <t>OK</t>
        </is>
      </c>
      <c r="L19" s="44" t="inlineStr">
        <is>
          <t>Claude (essai automatisé)</t>
        </is>
      </c>
      <c r="M19" s="45" t="n">
        <v>46323</v>
      </c>
      <c r="N19" s="44" t="n"/>
      <c r="O19" s="43" t="inlineStr">
        <is>
          <t>Vérifié par l'API.</t>
        </is>
      </c>
    </row>
    <row r="20" ht="99" customHeight="1" s="73">
      <c r="A20" s="38" t="inlineStr">
        <is>
          <t>REG-16</t>
        </is>
      </c>
      <c r="B20" s="39" t="inlineStr">
        <is>
          <t>Enregistrement</t>
        </is>
      </c>
      <c r="C20" s="40" t="inlineStr">
        <is>
          <t>Registre acteurs et actifs</t>
        </is>
      </c>
      <c r="D20" s="41" t="inlineStr">
        <is>
          <t>/pmea</t>
        </is>
      </c>
      <c r="E20" s="41" t="inlineStr">
        <is>
          <t>Transformateur + Agent ATDA</t>
        </is>
      </c>
      <c r="F20" s="42" t="inlineStr">
        <is>
          <t>P2</t>
        </is>
      </c>
      <c r="G20" s="41" t="inlineStr">
        <is>
          <t>Connecté (téléphone 0197000009).</t>
        </is>
      </c>
      <c r="H20" s="41" t="inlineStr">
        <is>
          <t>1. Transformateur : « Entreprises agricoles », « Inscrire une entreprise ».
2. Producteur : vérifier que l'entreprise n'est pas encore listée.
3. Agent de la zone ou administrateur : « Vérifier » l'entreprise.</t>
        </is>
      </c>
      <c r="I20" s="41" t="inlineStr">
        <is>
          <t>Avant vérification seul son auteur la voit ; après vérification elle apparaît dans l'annuaire des producteurs du département.</t>
        </is>
      </c>
      <c r="J20" s="43" t="inlineStr">
        <is>
          <t>Entreprise inscrite par le transformateur (non vérifiée, visible de son auteur) ; absente de la liste d'un producteur ; vérifiée par l'administrateur (200, verified=True) ; un agent hors département est refusé (403).</t>
        </is>
      </c>
      <c r="K20" s="44" t="inlineStr">
        <is>
          <t>OK</t>
        </is>
      </c>
      <c r="L20" s="44" t="inlineStr">
        <is>
          <t>Claude (essai automatisé)</t>
        </is>
      </c>
      <c r="M20" s="45" t="n">
        <v>46323</v>
      </c>
      <c r="N20" s="44" t="n"/>
      <c r="O20" s="43" t="inlineStr">
        <is>
          <t>Vérifié par l'API ; l'apparition dans l'annuaire d'un producteur du Borgou n'a pas été vue (aucun producteur de ce département).</t>
        </is>
      </c>
    </row>
    <row r="21" ht="60" customHeight="1" s="73">
      <c r="A21" s="38" t="inlineStr">
        <is>
          <t>GPS-01</t>
        </is>
      </c>
      <c r="B21" s="39" t="inlineStr">
        <is>
          <t>Enregistrement</t>
        </is>
      </c>
      <c r="C21" s="40" t="inlineStr">
        <is>
          <t>Cartographie GPS parcellaire</t>
        </is>
      </c>
      <c r="D21" s="41" t="inlineStr">
        <is>
          <t>/parcelles</t>
        </is>
      </c>
      <c r="E21" s="41" t="inlineStr">
        <is>
          <t>Producteur</t>
        </is>
      </c>
      <c r="F21" s="42" t="inlineStr">
        <is>
          <t>P1</t>
        </is>
      </c>
      <c r="G21" s="41" t="inlineStr">
        <is>
          <t>Connecté (téléphone 0197000001).</t>
        </is>
      </c>
      <c r="H21" s="41" t="inlineStr">
        <is>
          <t>1. Ouvrir « Mes parcelles ».
2. Dessiner un polygone sur la carte.
3. Enregistrer la parcelle.</t>
        </is>
      </c>
      <c r="I21" s="41" t="inlineStr">
        <is>
          <t>La surface s'affiche à l'écran puis est recalculée par le serveur à l'enregistrement ; la parcelle apparaît dans la liste.</t>
        </is>
      </c>
      <c r="J21" s="43" t="inlineStr">
        <is>
          <t>Polygone enregistré (201) ; surface recalculée par le serveur : 0.9772 ha pour un carré d'environ 100 m ; la parcelle figure dans la liste.</t>
        </is>
      </c>
      <c r="K21" s="44" t="inlineStr">
        <is>
          <t>OK</t>
        </is>
      </c>
      <c r="L21" s="44" t="inlineStr">
        <is>
          <t>Claude (essai automatisé)</t>
        </is>
      </c>
      <c r="M21" s="45" t="n">
        <v>46323</v>
      </c>
      <c r="N21" s="44" t="n"/>
      <c r="O21" s="43" t="inlineStr">
        <is>
          <t>Vérifié par l'API : tracé à la souris sur la carte non joué.</t>
        </is>
      </c>
    </row>
    <row r="22" ht="125" customHeight="1" s="73">
      <c r="A22" s="38" t="inlineStr">
        <is>
          <t>GPS-02</t>
        </is>
      </c>
      <c r="B22" s="39" t="inlineStr">
        <is>
          <t>Enregistrement</t>
        </is>
      </c>
      <c r="C22" s="40" t="inlineStr">
        <is>
          <t>Cartographie GPS parcellaire</t>
        </is>
      </c>
      <c r="D22" s="41" t="inlineStr">
        <is>
          <t>/parcelles</t>
        </is>
      </c>
      <c r="E22" s="41" t="inlineStr">
        <is>
          <t>Producteur</t>
        </is>
      </c>
      <c r="F22" s="42" t="inlineStr">
        <is>
          <t>P2</t>
        </is>
      </c>
      <c r="G22" s="41" t="inlineStr">
        <is>
          <t>Connecté (téléphone 0197000001).</t>
        </is>
      </c>
      <c r="H22" s="41" t="inlineStr">
        <is>
          <t>1. Sur la carte de tracé, utiliser la recherche de lieu (ex. Banikoara).
2. Cliquer « Ma position » (accepter la géolocalisation).
3. Utiliser le tracé en un clic.</t>
        </is>
      </c>
      <c r="I22" s="41" t="inlineStr">
        <is>
          <t>La carte se recentre sur le lieu ou la position ; le tracé en un clic produit un polygone modifiable.</t>
        </is>
      </c>
      <c r="J22" s="43" t="inlineStr">
        <is>
          <t>Recherche de lieu « Banikoara » : une seule requête vers OpenStreetMap (Nominatim, pays Bénin) au clic sur « Chercher » ; « Ma position » (position simulée) affiche « Vous êtes ici, à environ 0 m près. Tracez maintenant le contour de votre champ. » ; le bouton « Tracer le contour de ma parcelle » est présent.</t>
        </is>
      </c>
      <c r="K22" s="44" t="inlineStr">
        <is>
          <t>En cours</t>
        </is>
      </c>
      <c r="L22" s="44" t="inlineStr">
        <is>
          <t>Claude (essai automatisé)</t>
        </is>
      </c>
      <c r="M22" s="45" t="n">
        <v>46323</v>
      </c>
      <c r="N22" s="44" t="n"/>
      <c r="O22" s="43" t="inlineStr">
        <is>
          <t>Recentrage de la carte et polygone du tracé en un clic non vérifiés à l'œil.</t>
        </is>
      </c>
    </row>
    <row r="23" ht="73" customHeight="1" s="73">
      <c r="A23" s="38" t="inlineStr">
        <is>
          <t>GPS-03</t>
        </is>
      </c>
      <c r="B23" s="39" t="inlineStr">
        <is>
          <t>Enregistrement</t>
        </is>
      </c>
      <c r="C23" s="40" t="inlineStr">
        <is>
          <t>Cartographie GPS parcellaire</t>
        </is>
      </c>
      <c r="D23" s="41" t="inlineStr">
        <is>
          <t>/parcelles</t>
        </is>
      </c>
      <c r="E23" s="41" t="inlineStr">
        <is>
          <t>Producteur</t>
        </is>
      </c>
      <c r="F23" s="42" t="inlineStr">
        <is>
          <t>P2</t>
        </is>
      </c>
      <c r="G23" s="41" t="inlineStr">
        <is>
          <t>Connecté (téléphone 0197000001). Une parcelle existante dans le département.</t>
        </is>
      </c>
      <c r="H23" s="41" t="inlineStr">
        <is>
          <t>1. Tracer une nouvelle parcelle qui recouvre plus de 20 % d'une parcelle d'un autre producteur du même département.
2. Enregistrer.</t>
        </is>
      </c>
      <c r="I23" s="41" t="inlineStr">
        <is>
          <t>Une alerte de chevauchement s'affiche (c'est un avertissement, pas un blocage).</t>
        </is>
      </c>
      <c r="J23" s="43" t="inlineStr">
        <is>
          <t>Parcelle presque superposée à une parcelle d'un autre producteur : enregistrée (201) avec overlap_warning=True (avertissement, pas de blocage).</t>
        </is>
      </c>
      <c r="K23" s="44" t="inlineStr">
        <is>
          <t>OK</t>
        </is>
      </c>
      <c r="L23" s="44" t="inlineStr">
        <is>
          <t>Claude (essai automatisé)</t>
        </is>
      </c>
      <c r="M23" s="45" t="n">
        <v>46323</v>
      </c>
      <c r="N23" s="44" t="n"/>
      <c r="O23" s="43" t="inlineStr">
        <is>
          <t>Vérifié par l'API ; texte de l'alerte non vu à l'écran.</t>
        </is>
      </c>
    </row>
    <row r="24" ht="99" customHeight="1" s="73">
      <c r="A24" s="38" t="inlineStr">
        <is>
          <t>GPS-04</t>
        </is>
      </c>
      <c r="B24" s="39" t="inlineStr">
        <is>
          <t>Enregistrement</t>
        </is>
      </c>
      <c r="C24" s="40" t="inlineStr">
        <is>
          <t>Cartographie GPS parcellaire</t>
        </is>
      </c>
      <c r="D24" s="41" t="inlineStr">
        <is>
          <t>/amenagements</t>
        </is>
      </c>
      <c r="E24" s="41" t="inlineStr">
        <is>
          <t>Agent ATDA</t>
        </is>
      </c>
      <c r="F24" s="42" t="inlineStr">
        <is>
          <t>P2</t>
        </is>
      </c>
      <c r="G24" s="41" t="inlineStr">
        <is>
          <t>Connecté (téléphone 0197000002).</t>
        </is>
      </c>
      <c r="H24" s="41" t="inlineStr">
        <is>
          <t>1. « Enregistrer un aménagement » : bas-fond de 120 ha dont 90 exploitables.
2. « Ajouter des travaux » (réhabilitation).
3. « Démarrer » puis « Terminer » les travaux.</t>
        </is>
      </c>
      <c r="I24" s="41" t="inlineStr">
        <is>
          <t>L'état suit les travaux : « À réhabiliter », puis « En travaux », puis « Opérationnel ». Les trois superficies sont cohérentes.</t>
        </is>
      </c>
      <c r="J24" s="43" t="inlineStr">
        <is>
          <t>Bas-fond 120 ha dont 90 exploitables (40 exploitées) enregistré ; état « a_rehabiliter » après ajout des travaux, « en_travaux » une fois démarrés, « operationnel » une fois terminés ; clôture avant démarrage refusée (400).</t>
        </is>
      </c>
      <c r="K24" s="44" t="inlineStr">
        <is>
          <t>OK</t>
        </is>
      </c>
      <c r="L24" s="44" t="inlineStr">
        <is>
          <t>Claude (essai automatisé)</t>
        </is>
      </c>
      <c r="M24" s="45" t="n">
        <v>46323</v>
      </c>
      <c r="N24" s="44" t="n"/>
      <c r="O24" s="43" t="inlineStr">
        <is>
          <t>Vérifié par l'API.</t>
        </is>
      </c>
    </row>
    <row r="25" ht="47" customHeight="1" s="73">
      <c r="A25" s="38" t="inlineStr">
        <is>
          <t>GPS-05</t>
        </is>
      </c>
      <c r="B25" s="39" t="inlineStr">
        <is>
          <t>Enregistrement</t>
        </is>
      </c>
      <c r="C25" s="40" t="inlineStr">
        <is>
          <t>Cartographie GPS parcellaire</t>
        </is>
      </c>
      <c r="D25" s="41" t="inlineStr">
        <is>
          <t>/sols</t>
        </is>
      </c>
      <c r="E25" s="41" t="inlineStr">
        <is>
          <t>Producteur</t>
        </is>
      </c>
      <c r="F25" s="42" t="inlineStr">
        <is>
          <t>P2</t>
        </is>
      </c>
      <c r="G25" s="41" t="inlineStr">
        <is>
          <t>Connecté (téléphone 0197000001).</t>
        </is>
      </c>
      <c r="H25" s="41" t="inlineStr">
        <is>
          <t>1. Ouvrir « Sols et terres », « Mes terres ».
2. Déclarer la superficie exploitable d'une parcelle.</t>
        </is>
      </c>
      <c r="I25" s="41" t="inlineStr">
        <is>
          <t>La superficie exploitable est enregistrée ; la valeur par défaut reste la surface totale tant que rien n'est déclaré.</t>
        </is>
      </c>
      <c r="J25" s="43" t="inlineStr">
        <is>
          <t>Superficie exploitable 0,5 ha acceptée ; 99 ha (plus que la surface mesurée) refusée (400).</t>
        </is>
      </c>
      <c r="K25" s="44" t="inlineStr">
        <is>
          <t>OK</t>
        </is>
      </c>
      <c r="L25" s="44" t="inlineStr">
        <is>
          <t>Claude (essai automatisé)</t>
        </is>
      </c>
      <c r="M25" s="45" t="n">
        <v>46323</v>
      </c>
      <c r="N25" s="44" t="n"/>
      <c r="O25" s="43" t="inlineStr">
        <is>
          <t>Vérifié par l'API.</t>
        </is>
      </c>
    </row>
    <row r="26" ht="125" customHeight="1" s="73">
      <c r="A26" s="38" t="inlineStr">
        <is>
          <t>GPS-06</t>
        </is>
      </c>
      <c r="B26" s="39" t="inlineStr">
        <is>
          <t>Enregistrement</t>
        </is>
      </c>
      <c r="C26" s="40" t="inlineStr">
        <is>
          <t>Cartographie GPS parcellaire</t>
        </is>
      </c>
      <c r="D26" s="41" t="inlineStr">
        <is>
          <t>/sols</t>
        </is>
      </c>
      <c r="E26" s="41" t="inlineStr">
        <is>
          <t>Agent ATDA + Producteur</t>
        </is>
      </c>
      <c r="F26" s="42" t="inlineStr">
        <is>
          <t>P2</t>
        </is>
      </c>
      <c r="G26" s="41" t="inlineStr">
        <is>
          <t>Connecté (téléphone 0197000002).</t>
        </is>
      </c>
      <c r="H26" s="41" t="inlineStr">
        <is>
          <t>1. Agent : « Analyses de sol », saisir pH 4,8, matière organique 1,4 %, phosphore 6 ppm pour un producteur.
2. Producteur : ouvrir « Sols et terres ».</t>
        </is>
      </c>
      <c r="I26" s="41" t="inlineStr">
        <is>
          <t>Le producteur lit « À corriger » et des conseils qualitatifs, sans aucune dose.</t>
        </is>
      </c>
      <c r="J26" s="43" t="inlineStr">
        <is>
          <t>Analyse (pH 4,8, MO 1,4 %, P 6 ppm) saisie par l'agent ; le producteur lit 4 constats qualitatifs (sol très acide, matière organique faible, phosphore faible, sol sableux) avec des conseils sans dose (« aucune dose n'est donnée ici ») ; la saisie par le producteur est refusée (403).</t>
        </is>
      </c>
      <c r="K26" s="44" t="inlineStr">
        <is>
          <t>OK</t>
        </is>
      </c>
      <c r="L26" s="44" t="inlineStr">
        <is>
          <t>Claude (essai automatisé)</t>
        </is>
      </c>
      <c r="M26" s="45" t="n">
        <v>46323</v>
      </c>
      <c r="N26" s="44" t="n"/>
      <c r="O26" s="43" t="inlineStr">
        <is>
          <t>Vérifié par l'API ; le libellé « À corriger » de l'écran n'a pas été vu (le serveur renvoie les niveaux alerte/attention).</t>
        </is>
      </c>
    </row>
    <row r="27" ht="99" customHeight="1" s="73">
      <c r="A27" s="38" t="inlineStr">
        <is>
          <t>GPS-07</t>
        </is>
      </c>
      <c r="B27" s="39" t="inlineStr">
        <is>
          <t>Enregistrement</t>
        </is>
      </c>
      <c r="C27" s="40" t="inlineStr">
        <is>
          <t>Cartographie GPS parcellaire</t>
        </is>
      </c>
      <c r="D27" s="41" t="inlineStr">
        <is>
          <t>/sols</t>
        </is>
      </c>
      <c r="E27" s="41" t="inlineStr">
        <is>
          <t>Agent ATDA + Administrateur MAEP</t>
        </is>
      </c>
      <c r="F27" s="42" t="inlineStr">
        <is>
          <t>P3</t>
        </is>
      </c>
      <c r="G27" s="41" t="inlineStr">
        <is>
          <t>Connecté (téléphone 0197000002).</t>
        </is>
      </c>
      <c r="H27" s="41" t="inlineStr">
        <is>
          <t>1. Ouvrir « Utilisation des terres ».</t>
        </is>
      </c>
      <c r="I27" s="41" t="inlineStr">
        <is>
          <t>Les superficies disponible, exploitable et exploitée sont données par département et type de terrain.</t>
        </is>
      </c>
      <c r="J27" s="43" t="inlineStr">
        <is>
          <t>« Utilisation des terres » : 1 lignes par département et type de terrain (disponible, exploitable, exploitée) ; aménagements : [{'kind': 'bas_fond', 'count': 2, 'available_ha': 240.0, 'arable_ha': 180.0, 'used_ha': 80.0}].</t>
        </is>
      </c>
      <c r="K27" s="44" t="inlineStr">
        <is>
          <t>OK</t>
        </is>
      </c>
      <c r="L27" s="44" t="inlineStr">
        <is>
          <t>Claude (essai automatisé)</t>
        </is>
      </c>
      <c r="M27" s="45" t="n">
        <v>46323</v>
      </c>
      <c r="N27" s="44" t="n"/>
      <c r="O27" s="43" t="inlineStr">
        <is>
          <t>Vérifié par l'API.</t>
        </is>
      </c>
    </row>
    <row r="28" ht="125" customHeight="1" s="73">
      <c r="A28" s="38" t="inlineStr">
        <is>
          <t>GPS-08</t>
        </is>
      </c>
      <c r="B28" s="39" t="inlineStr">
        <is>
          <t>Enregistrement</t>
        </is>
      </c>
      <c r="C28" s="40" t="inlineStr">
        <is>
          <t>Cartographie GPS parcellaire</t>
        </is>
      </c>
      <c r="D28" s="41" t="inlineStr">
        <is>
          <t>/satellite</t>
        </is>
      </c>
      <c r="E28" s="41" t="inlineStr">
        <is>
          <t>Producteur + Agent ATDA</t>
        </is>
      </c>
      <c r="F28" s="42" t="inlineStr">
        <is>
          <t>P2</t>
        </is>
      </c>
      <c r="G28" s="41" t="inlineStr">
        <is>
          <t>Navigateur avec WebGL (Chrome). Sans clés Copernicus : démonstration.</t>
        </is>
      </c>
      <c r="H28" s="41" t="inlineStr">
        <is>
          <t>1. Ouvrir « Suivi satellite ».
2. Choisir un indice (NDVI, NDMI) et un passage dans la frise de 9 passages.
3. Activer le relief 3D.</t>
        </is>
      </c>
      <c r="I28" s="41" t="inlineStr">
        <is>
          <t>Carte colorée par indice, valeurs datées. Sans clés, l'écran affiche clairement « démonstration ». Le relief 3D se charge à la demande.</t>
        </is>
      </c>
      <c r="J28" s="43" t="inlineStr">
        <is>
          <t>« Suivi satellite » : données Copernicus Sentinel-2 L2A (dernier passage exploitable 20/10/2026), console d'analyse (indice NDVI du département 0,61), choix NDVI / NDMI et date d'acquisition ; « Relief 3D » : un canevas WebGL se charge (« Relief amplifié ×3 », « Fermer le relief 3D »).</t>
        </is>
      </c>
      <c r="K28" s="44" t="inlineStr">
        <is>
          <t>OK</t>
        </is>
      </c>
      <c r="L28" s="44" t="inlineStr">
        <is>
          <t>Claude (essai automatisé)</t>
        </is>
      </c>
      <c r="M28" s="45" t="n">
        <v>46323</v>
      </c>
      <c r="N28" s="44" t="n"/>
      <c r="O28" s="43" t="inlineStr">
        <is>
          <t>Les clés Copernicus sont renseignées sur ce poste : le mode « démonstration » du cas n'a pas été observé. Rendu coloré non vu à l'œil.</t>
        </is>
      </c>
    </row>
    <row r="29" ht="86" customHeight="1" s="73">
      <c r="A29" s="38" t="inlineStr">
        <is>
          <t>GPS-09</t>
        </is>
      </c>
      <c r="B29" s="39" t="inlineStr">
        <is>
          <t>Enregistrement</t>
        </is>
      </c>
      <c r="C29" s="40" t="inlineStr">
        <is>
          <t>Cartographie GPS parcellaire</t>
        </is>
      </c>
      <c r="D29" s="41" t="inlineStr">
        <is>
          <t>/satellite</t>
        </is>
      </c>
      <c r="E29" s="41" t="inlineStr">
        <is>
          <t>Producteur</t>
        </is>
      </c>
      <c r="F29" s="42" t="inlineStr">
        <is>
          <t>P3</t>
        </is>
      </c>
      <c r="G29" s="41" t="inlineStr">
        <is>
          <t>Connecté (téléphone 0197000001).</t>
        </is>
      </c>
      <c r="H29" s="41" t="inlineStr">
        <is>
          <t>1. Ouvrir l'écran « Mesurer une parcelle » depuis le suivi satellite.
2. Tracer un contour.</t>
        </is>
      </c>
      <c r="I29" s="41" t="inlineStr">
        <is>
          <t>La surface mesurée s'affiche ; le contour peut être repris pour enregistrer une parcelle.</t>
        </is>
      </c>
      <c r="J29" s="43" t="inlineStr">
        <is>
          <t>L'écran de mesure (/parcelles?tracer=1) s'ouvre avec Surface, Distance, Précision, « Pause / Terminer / Recommencer le tracé » et le mode d'emploi « Marchez le long de la limite du champ ».</t>
        </is>
      </c>
      <c r="K29" s="44" t="inlineStr">
        <is>
          <t>En cours</t>
        </is>
      </c>
      <c r="L29" s="44" t="inlineStr">
        <is>
          <t>Claude (essai automatisé)</t>
        </is>
      </c>
      <c r="M29" s="45" t="n">
        <v>46323</v>
      </c>
      <c r="N29" s="44" t="n"/>
      <c r="O29" s="43" t="inlineStr">
        <is>
          <t>Le tracé d'un contour au GPS n'a pas été joué ; le cahier le place dans le suivi satellite, il est dans « Mes parcelles ».</t>
        </is>
      </c>
    </row>
    <row r="30" ht="47" customHeight="1" s="73">
      <c r="A30" s="46" t="inlineStr">
        <is>
          <t>PRO-01</t>
        </is>
      </c>
      <c r="B30" s="47" t="inlineStr">
        <is>
          <t>Suivi</t>
        </is>
      </c>
      <c r="C30" s="48" t="inlineStr">
        <is>
          <t>Suivi production et filières</t>
        </is>
      </c>
      <c r="D30" s="41" t="inlineStr">
        <is>
          <t>/campagnes</t>
        </is>
      </c>
      <c r="E30" s="41" t="inlineStr">
        <is>
          <t>Producteur</t>
        </is>
      </c>
      <c r="F30" s="42" t="inlineStr">
        <is>
          <t>P1</t>
        </is>
      </c>
      <c r="G30" s="41" t="inlineStr">
        <is>
          <t>Connecté (téléphone 0197000001). Une parcelle tracée.</t>
        </is>
      </c>
      <c r="H30" s="41" t="inlineStr">
        <is>
          <t>1. Ouvrir « Mes campagnes », créer une campagne.
2. Filière maïs, saison 2026-pluie-1, stade semis.</t>
        </is>
      </c>
      <c r="I30" s="41" t="inlineStr">
        <is>
          <t>La campagne est créée et visible dans la liste avec son stade.</t>
        </is>
      </c>
      <c r="J30" s="43" t="inlineStr">
        <is>
          <t>Campagne maïs 2026-pluie-1 au stade semis créée (201) ; rejouée, elle est refusée (400 campaign_exists).</t>
        </is>
      </c>
      <c r="K30" s="44" t="inlineStr">
        <is>
          <t>OK</t>
        </is>
      </c>
      <c r="L30" s="44" t="inlineStr">
        <is>
          <t>Claude (essai automatisé)</t>
        </is>
      </c>
      <c r="M30" s="45" t="n">
        <v>46323</v>
      </c>
      <c r="N30" s="44" t="n"/>
      <c r="O30" s="43" t="inlineStr">
        <is>
          <t>Vérifié par l'API.</t>
        </is>
      </c>
    </row>
    <row r="31" ht="99" customHeight="1" s="73">
      <c r="A31" s="46" t="inlineStr">
        <is>
          <t>PRO-02</t>
        </is>
      </c>
      <c r="B31" s="47" t="inlineStr">
        <is>
          <t>Suivi</t>
        </is>
      </c>
      <c r="C31" s="48" t="inlineStr">
        <is>
          <t>Suivi production et filières</t>
        </is>
      </c>
      <c r="D31" s="41" t="inlineStr">
        <is>
          <t>/campagnes</t>
        </is>
      </c>
      <c r="E31" s="41" t="inlineStr">
        <is>
          <t>Producteur</t>
        </is>
      </c>
      <c r="F31" s="42" t="inlineStr">
        <is>
          <t>P1</t>
        </is>
      </c>
      <c r="G31" s="41" t="inlineStr">
        <is>
          <t>Connecté (téléphone 0197000001). Campagne existante.</t>
        </is>
      </c>
      <c r="H31" s="41" t="inlineStr">
        <is>
          <t>1. Dans « Mes campagnes », déclarer une récolte.
2. Saisir un stock + une quantité vendue supérieurs à la récolte.</t>
        </is>
      </c>
      <c r="I31" s="41" t="inlineStr">
        <is>
          <t>Le serveur refuse : stocké + vendu ne peut pas dépasser la récolte (rappelé dans le formulaire).</t>
        </is>
      </c>
      <c r="J31" s="43" t="inlineStr">
        <is>
          <t>Stock 80 kg + vente 80 kg pour 100 kg récoltés : refusé (400) {"detail": "Stock et vente dépassent la quantité récoltée.", "code": "validation_error", "fields": {"stored_kg": ["stored_kg + sold_kg doit être infér</t>
        </is>
      </c>
      <c r="K31" s="44" t="inlineStr">
        <is>
          <t>OK</t>
        </is>
      </c>
      <c r="L31" s="44" t="inlineStr">
        <is>
          <t>Claude (essai automatisé)</t>
        </is>
      </c>
      <c r="M31" s="45" t="n">
        <v>46323</v>
      </c>
      <c r="N31" s="44" t="n"/>
      <c r="O31" s="43" t="inlineStr">
        <is>
          <t>Vérifié par l'API ; rappel dans le formulaire non vu à l'écran.</t>
        </is>
      </c>
    </row>
    <row r="32" ht="86" customHeight="1" s="73">
      <c r="A32" s="46" t="inlineStr">
        <is>
          <t>PRO-03</t>
        </is>
      </c>
      <c r="B32" s="47" t="inlineStr">
        <is>
          <t>Suivi</t>
        </is>
      </c>
      <c r="C32" s="48" t="inlineStr">
        <is>
          <t>Suivi production et filières</t>
        </is>
      </c>
      <c r="D32" s="41" t="inlineStr">
        <is>
          <t>/recoltes-signalees</t>
        </is>
      </c>
      <c r="E32" s="41" t="inlineStr">
        <is>
          <t>Producteur + Agent ATDA</t>
        </is>
      </c>
      <c r="F32" s="42" t="inlineStr">
        <is>
          <t>P2</t>
        </is>
      </c>
      <c r="G32" s="41" t="inlineStr">
        <is>
          <t>Parcelle avec rendement estimé.</t>
        </is>
      </c>
      <c r="H32" s="41" t="inlineStr">
        <is>
          <t>1. Producteur : déclarer une récolte à plus de 50 % au-dessus ou en dessous du rendement estimé.
2. Agent : « Récoltes signalées », « Vérifier ».
3. Choisir « Déclaration confirmée », « Quantité corrigée » (quantité et motif obligatoires) ou « Visite nécessaire ».</t>
        </is>
      </c>
      <c r="I32" s="41" t="inlineStr">
        <is>
          <t>La récolte est signalée et les agents du département prévenus. Le producteur voit la conclusion sur sa campagne ; les cas vérifiés passent dans l'onglet « Vérifiées ».</t>
        </is>
      </c>
      <c r="J32" s="43" t="inlineStr">
        <is>
          <t>Récolte de 20 000 kg signalée (écart 1264.4 %), visible dans « à vérifier » de l'agent ; correction à 900 kg avec motif acceptée (statut corrigee), conclusion sans motif refusée (400).</t>
        </is>
      </c>
      <c r="K32" s="44" t="inlineStr">
        <is>
          <t>OK</t>
        </is>
      </c>
      <c r="L32" s="44" t="inlineStr">
        <is>
          <t>Claude (essai automatisé)</t>
        </is>
      </c>
      <c r="M32" s="45" t="n">
        <v>46323</v>
      </c>
      <c r="N32" s="44" t="n"/>
      <c r="O32" s="43" t="inlineStr">
        <is>
          <t>Vérifié par l'API ; choix « Déclaration confirmée » et « Visite nécessaire » non rejoués ici.</t>
        </is>
      </c>
    </row>
    <row r="33" ht="99" customHeight="1" s="73">
      <c r="A33" s="46" t="inlineStr">
        <is>
          <t>PRO-04</t>
        </is>
      </c>
      <c r="B33" s="47" t="inlineStr">
        <is>
          <t>Suivi</t>
        </is>
      </c>
      <c r="C33" s="48" t="inlineStr">
        <is>
          <t>Suivi production et filières</t>
        </is>
      </c>
      <c r="D33" s="41" t="inlineStr">
        <is>
          <t>/semences</t>
        </is>
      </c>
      <c r="E33" s="41" t="inlineStr">
        <is>
          <t>Agent ATDA</t>
        </is>
      </c>
      <c r="F33" s="42" t="inlineStr">
        <is>
          <t>P2</t>
        </is>
      </c>
      <c r="G33" s="41" t="inlineStr">
        <is>
          <t>Connecté (téléphone 0197000002).</t>
        </is>
      </c>
      <c r="H33" s="41" t="inlineStr">
        <is>
          <t>1. « Semences certifiées », « Enregistrer un lot » (variété, catégorie, numéro de certificat).
2. « Remettre » le lot à un producteur validé.
3. Tenter de remettre plus que le stock.</t>
        </is>
      </c>
      <c r="I33" s="41" t="inlineStr">
        <is>
          <t>Un appui « Semences certifiées … · SEM-… » apparaît dans « Mes appuis » du producteur, à confirmer ; le stock du lot baisse ; une remise au-delà du stock est refusée.</t>
        </is>
      </c>
      <c r="J33" s="43" t="inlineStr">
        <is>
          <t>Lot SEM-38C45A enregistré (100 kg) ; remise de 20 kg : stock disponible 80.0 kg ; remise de 900 kg refusée (400) ; « Semences certifiées EVDT 97 STR (R1) · SEM-38C45A » apparaît dans « Mes appuis » du producteur.</t>
        </is>
      </c>
      <c r="K33" s="44" t="inlineStr">
        <is>
          <t>OK</t>
        </is>
      </c>
      <c r="L33" s="44" t="inlineStr">
        <is>
          <t>Claude (essai automatisé)</t>
        </is>
      </c>
      <c r="M33" s="45" t="n">
        <v>46323</v>
      </c>
      <c r="N33" s="44" t="n"/>
      <c r="O33" s="43" t="inlineStr">
        <is>
          <t>Vérifié par l'API.</t>
        </is>
      </c>
    </row>
    <row r="34" ht="99" customHeight="1" s="73">
      <c r="A34" s="46" t="inlineStr">
        <is>
          <t>PRO-05</t>
        </is>
      </c>
      <c r="B34" s="47" t="inlineStr">
        <is>
          <t>Suivi</t>
        </is>
      </c>
      <c r="C34" s="48" t="inlineStr">
        <is>
          <t>Suivi production et filières</t>
        </is>
      </c>
      <c r="D34" s="41" t="inlineStr">
        <is>
          <t>/mecanisation</t>
        </is>
      </c>
      <c r="E34" s="41" t="inlineStr">
        <is>
          <t>Producteur</t>
        </is>
      </c>
      <c r="F34" s="42" t="inlineStr">
        <is>
          <t>P2</t>
        </is>
      </c>
      <c r="G34" s="41" t="inlineStr">
        <is>
          <t>Deux producteurs du même département (A et B).</t>
        </is>
      </c>
      <c r="H34" s="41" t="inlineStr">
        <is>
          <t>1. A : « Mon matériel », tracteur proposé à la location.
2. B : « Mécanisation », « Demander » un labour de 2 ha : noter le coût estimé.
3. A : « Demandes reçues », « Accepter », puis « Prestation faite » avec la surface réelle.</t>
        </is>
      </c>
      <c r="I34" s="41" t="inlineStr">
        <is>
          <t>Après acceptation, les numéros apparaissent des deux côtés. Le prix final s'ajoute aux dépenses de B (« Mon revenu »). Le paiement lui-même se règle hors plateforme.</t>
        </is>
      </c>
      <c r="J34" s="43" t="inlineStr">
        <is>
          <t>Demande de labour de 2 ha (estimation 50000 FCFA) ; acceptée ; numéro visible des deux côtés ; prestation faite sur 1,5 ha : prix final 37500 ; dépenses du demandeur : [('mecanisation', 37500), ('intrants', 25000)].</t>
        </is>
      </c>
      <c r="K34" s="44" t="inlineStr">
        <is>
          <t>OK</t>
        </is>
      </c>
      <c r="L34" s="44" t="inlineStr">
        <is>
          <t>Claude (essai automatisé)</t>
        </is>
      </c>
      <c r="M34" s="45" t="n">
        <v>46323</v>
      </c>
      <c r="N34" s="44" t="n"/>
      <c r="O34" s="43" t="inlineStr">
        <is>
          <t>Vérifié par l'API ; le paiement se règle hors plateforme.</t>
        </is>
      </c>
    </row>
    <row r="35" ht="164" customHeight="1" s="73">
      <c r="A35" s="46" t="inlineStr">
        <is>
          <t>PRO-06</t>
        </is>
      </c>
      <c r="B35" s="47" t="inlineStr">
        <is>
          <t>Suivi</t>
        </is>
      </c>
      <c r="C35" s="48" t="inlineStr">
        <is>
          <t>Suivi production et filières</t>
        </is>
      </c>
      <c r="D35" s="41" t="inlineStr">
        <is>
          <t>/tracabilite</t>
        </is>
      </c>
      <c r="E35" s="41" t="inlineStr">
        <is>
          <t>Gestionnaire de coopérative + Transformateur</t>
        </is>
      </c>
      <c r="F35" s="42" t="inlineStr">
        <is>
          <t>P1</t>
        </is>
      </c>
      <c r="G35" s="41" t="inlineStr">
        <is>
          <t>Une récolte stockée d'un membre de la coopérative (voir PRO-03).</t>
        </is>
      </c>
      <c r="H35" s="41" t="inlineStr">
        <is>
          <t>1. Gestionnaire (0197000008) : « Traçabilité », « Mettre en lot » la récolte, site « Magasin de Kandi [démo] ».
2. « Livrer » une partie au transformateur (0197000009).
3. Transformateur : « Transformer » le lot reçu en « Farine de maïs ».
4. « Remonter » le code du lot.</t>
        </is>
      </c>
      <c r="I35" s="41" t="inlineStr">
        <is>
          <t>La remontée donne le producteur, la parcelle, la saison et les intrants reçus avant la récolte.</t>
        </is>
      </c>
      <c r="J35" s="43" t="inlineStr">
        <is>
          <t>Récolte → lot LOT-0B1391 (600 kg, Magasin de Kandi [recette]) → livré 500 kg au transformateur → « Farine de maïs » LOT-5E661F ; remontée : producteur BJ-AGR-2026-000048, parcelle « [recette] Champ GPS-01 », saison 2026-pluie-1, intrants ['Semences certifiées EVDT 97 STR (R1) · SEM-38C45A (20 kg)', 'Semences [recette] (10 kg)', 'Engrais [recette signalé] (10 kg)', 'Engrais NPK [recette dette] (4 sac)'].</t>
        </is>
      </c>
      <c r="K35" s="44" t="inlineStr">
        <is>
          <t>OK</t>
        </is>
      </c>
      <c r="L35" s="44" t="inlineStr">
        <is>
          <t>Claude (essai automatisé)</t>
        </is>
      </c>
      <c r="M35" s="45" t="n">
        <v>46323</v>
      </c>
      <c r="N35" s="44" t="n"/>
      <c r="O35" s="43" t="inlineStr">
        <is>
          <t>Vérifié par l'API.</t>
        </is>
      </c>
    </row>
    <row r="36" ht="99" customHeight="1" s="73">
      <c r="A36" s="46" t="inlineStr">
        <is>
          <t>PRO-07</t>
        </is>
      </c>
      <c r="B36" s="47" t="inlineStr">
        <is>
          <t>Suivi</t>
        </is>
      </c>
      <c r="C36" s="48" t="inlineStr">
        <is>
          <t>Suivi production et filières</t>
        </is>
      </c>
      <c r="D36" s="41" t="inlineStr">
        <is>
          <t>/collecte</t>
        </is>
      </c>
      <c r="E36" s="41" t="inlineStr">
        <is>
          <t>Gestionnaire de coopérative + Transformateur</t>
        </is>
      </c>
      <c r="F36" s="42" t="inlineStr">
        <is>
          <t>P3</t>
        </is>
      </c>
      <c r="G36" s="41" t="inlineStr">
        <is>
          <t>Connecté (téléphone 0197000009).</t>
        </is>
      </c>
      <c r="H36" s="41" t="inlineStr">
        <is>
          <t>1. Ouvrir « Collecte ».</t>
        </is>
      </c>
      <c r="I36" s="41" t="inlineStr">
        <is>
          <t>La page s'affiche. Elle contient des données de démonstration écrites dans le code (écart connu, à brancher sur la traçabilité réelle).</t>
        </is>
      </c>
      <c r="J36" s="43" t="inlineStr">
        <is>
          <t>« Circuit de collecte » s'affiche avec le bandeau « Données de démonstration — Pas encore de service de collecte : points, tournée et pesées sont des exemples, rien n'est envoyé au serveur » (tournée de mardi 21/10, magasin de Kandi).</t>
        </is>
      </c>
      <c r="K36" s="44" t="inlineStr">
        <is>
          <t>OK</t>
        </is>
      </c>
      <c r="L36" s="44" t="inlineStr">
        <is>
          <t>Claude (essai automatisé)</t>
        </is>
      </c>
      <c r="M36" s="45" t="n">
        <v>46323</v>
      </c>
      <c r="N36" s="44" t="n"/>
      <c r="O36" s="43" t="inlineStr">
        <is>
          <t>Écart connu confirmé.</t>
        </is>
      </c>
    </row>
    <row r="37" ht="99" customHeight="1" s="73">
      <c r="A37" s="46" t="inlineStr">
        <is>
          <t>PRO-08</t>
        </is>
      </c>
      <c r="B37" s="47" t="inlineStr">
        <is>
          <t>Suivi</t>
        </is>
      </c>
      <c r="C37" s="48" t="inlineStr">
        <is>
          <t>Suivi production et filières</t>
        </is>
      </c>
      <c r="D37" s="41" t="inlineStr">
        <is>
          <t>/stocks</t>
        </is>
      </c>
      <c r="E37" s="41" t="inlineStr">
        <is>
          <t>Transformateur + Distributeur</t>
        </is>
      </c>
      <c r="F37" s="42" t="inlineStr">
        <is>
          <t>P2</t>
        </is>
      </c>
      <c r="G37" s="41" t="inlineStr">
        <is>
          <t>Un lot en stock (voir PRO-06).</t>
        </is>
      </c>
      <c r="H37" s="41" t="inlineStr">
        <is>
          <t>1. Ouvrir « Stocks et ruptures ».
2. Transférer tout le stock d'un lot, recharger la page.</t>
        </is>
      </c>
      <c r="I37" s="41" t="inlineStr">
        <is>
          <t>Un stock épuisé passe en « Rupture » ; un stock sans sortie observée reste « Non calculable » (jamais « infini »). La commande check_stock_alerts envoie une alerte par produit et par semaine au plus.</t>
        </is>
      </c>
      <c r="J37" s="43" t="inlineStr">
        <is>
          <t>Stocks du transformateur : « maïs (récolte) » à 0 kg est en « rupture » ; « Farine de maïs » 1 600 kg sans sortie observée est « non_calculable » (jamais infini) ; après la sortie d'un lot de 400 kg elle passe à « ok », 21 jours de couverture.</t>
        </is>
      </c>
      <c r="K37" s="44" t="inlineStr">
        <is>
          <t>OK</t>
        </is>
      </c>
      <c r="L37" s="44" t="inlineStr">
        <is>
          <t>Claude (essai automatisé)</t>
        </is>
      </c>
      <c r="M37" s="45" t="n">
        <v>46323</v>
      </c>
      <c r="N37" s="44" t="n"/>
      <c r="O37" s="43" t="inlineStr">
        <is>
          <t>Vérifié par l'API ; la commande check_stock_alerts (une alerte par produit et par semaine) n'a pas été lancée.</t>
        </is>
      </c>
    </row>
    <row r="38" ht="73" customHeight="1" s="73">
      <c r="A38" s="46" t="inlineStr">
        <is>
          <t>PRO-09</t>
        </is>
      </c>
      <c r="B38" s="47" t="inlineStr">
        <is>
          <t>Suivi</t>
        </is>
      </c>
      <c r="C38" s="48" t="inlineStr">
        <is>
          <t>Suivi production et filières</t>
        </is>
      </c>
      <c r="D38" s="41" t="inlineStr">
        <is>
          <t>/revenu</t>
        </is>
      </c>
      <c r="E38" s="41" t="inlineStr">
        <is>
          <t>Producteur</t>
        </is>
      </c>
      <c r="F38" s="42" t="inlineStr">
        <is>
          <t>P2</t>
        </is>
      </c>
      <c r="G38" s="41" t="inlineStr">
        <is>
          <t>Connecté (téléphone 0197000001). Récolte vendue avec prix déclaré.</t>
        </is>
      </c>
      <c r="H38" s="41" t="inlineStr">
        <is>
          <t>1. Ouvrir « Mon revenu ».
2. Ajouter une dépense.</t>
        </is>
      </c>
      <c r="I38" s="41" t="inlineStr">
        <is>
          <t>Revenu net = ventes déclarées − dépenses − remboursements payés. Une vente sans prix n'est pas comptée mais signalée.</t>
        </is>
      </c>
      <c r="J38" s="43" t="inlineStr">
        <is>
          <t>Dépense de 50 000 FCFA ajoutée (201), date future refusée (400) ; revenu : ventes 0, dépenses 50000, remboursements 20000, net -70000 ; récoltes sans prix signalées : 0.</t>
        </is>
      </c>
      <c r="K38" s="44" t="inlineStr">
        <is>
          <t>OK</t>
        </is>
      </c>
      <c r="L38" s="44" t="inlineStr">
        <is>
          <t>Claude (essai automatisé)</t>
        </is>
      </c>
      <c r="M38" s="45" t="n">
        <v>46323</v>
      </c>
      <c r="N38" s="44" t="n"/>
      <c r="O38" s="43" t="inlineStr">
        <is>
          <t>Vérifié par l'API.</t>
        </is>
      </c>
    </row>
    <row r="39" ht="59.25" customHeight="1" s="73">
      <c r="A39" s="46" t="inlineStr">
        <is>
          <t>GOU-01</t>
        </is>
      </c>
      <c r="B39" s="47" t="inlineStr">
        <is>
          <t>Suivi</t>
        </is>
      </c>
      <c r="C39" s="48" t="inlineStr">
        <is>
          <t>Gouvernance et appuis</t>
        </is>
      </c>
      <c r="D39" s="41" t="inlineStr">
        <is>
          <t>/appuis</t>
        </is>
      </c>
      <c r="E39" s="41" t="inlineStr">
        <is>
          <t>Agent ATDA + Producteur</t>
        </is>
      </c>
      <c r="F39" s="42" t="inlineStr">
        <is>
          <t>P1</t>
        </is>
      </c>
      <c r="G39" s="41" t="inlineStr">
        <is>
          <t>Producteur validé de l'Alibori.</t>
        </is>
      </c>
      <c r="H39" s="41" t="inlineStr">
        <is>
          <t>1. Agent : « Appuis », remettre des semences à un producteur.
2. Producteur : « Mes appuis », confirmer la réception.</t>
        </is>
      </c>
      <c r="I39" s="41" t="inlineStr">
        <is>
          <t>L'appui passe à « confirmé » et l'agent est notifié.</t>
        </is>
      </c>
      <c r="J39" s="43" t="inlineStr">
        <is>
          <t>Appui remis (statut remis) puis confirmé par le producteur (statut confirme).</t>
        </is>
      </c>
      <c r="K39" s="44" t="inlineStr">
        <is>
          <t>OK</t>
        </is>
      </c>
      <c r="L39" s="44" t="inlineStr">
        <is>
          <t>Claude (essai automatisé)</t>
        </is>
      </c>
      <c r="M39" s="45" t="n">
        <v>46323</v>
      </c>
      <c r="N39" s="44" t="n"/>
      <c r="O39" s="43" t="inlineStr">
        <is>
          <t>Vérifié par l'API ; notification à l'agent : True</t>
        </is>
      </c>
    </row>
    <row r="40" ht="60" customHeight="1" s="73">
      <c r="A40" s="46" t="inlineStr">
        <is>
          <t>GOU-02</t>
        </is>
      </c>
      <c r="B40" s="47" t="inlineStr">
        <is>
          <t>Suivi</t>
        </is>
      </c>
      <c r="C40" s="48" t="inlineStr">
        <is>
          <t>Gouvernance et appuis</t>
        </is>
      </c>
      <c r="D40" s="41" t="inlineStr">
        <is>
          <t>/appuis</t>
        </is>
      </c>
      <c r="E40" s="41" t="inlineStr">
        <is>
          <t>Producteur + Agent ATDA</t>
        </is>
      </c>
      <c r="F40" s="42" t="inlineStr">
        <is>
          <t>P2</t>
        </is>
      </c>
      <c r="G40" s="41" t="inlineStr">
        <is>
          <t>Appui remis (GOU-01).</t>
        </is>
      </c>
      <c r="H40" s="41" t="inlineStr">
        <is>
          <t>1. Producteur : « Mes appuis », « Signaler un problème » (« Il en manque une partie » ou « Je n'ai rien reçu »).</t>
        </is>
      </c>
      <c r="I40" s="41" t="inlineStr">
        <is>
          <t>L'agent est prévenu ; l'appui reste « à confirmer ».</t>
        </is>
      </c>
      <c r="J40" s="43" t="inlineStr">
        <is>
          <t>Signalement « manque » accepté (200) ; l'appui reste « remis » ; l'agent reçoit une notification « Appui signalé ».</t>
        </is>
      </c>
      <c r="K40" s="44" t="inlineStr">
        <is>
          <t>OK</t>
        </is>
      </c>
      <c r="L40" s="44" t="inlineStr">
        <is>
          <t>Claude (essai automatisé)</t>
        </is>
      </c>
      <c r="M40" s="45" t="n">
        <v>46323</v>
      </c>
      <c r="N40" s="44" t="n"/>
      <c r="O40" s="43" t="inlineStr">
        <is>
          <t>Vérifié par l'API.</t>
        </is>
      </c>
    </row>
    <row r="41" ht="99" customHeight="1" s="73">
      <c r="A41" s="46" t="inlineStr">
        <is>
          <t>GOU-03</t>
        </is>
      </c>
      <c r="B41" s="47" t="inlineStr">
        <is>
          <t>Suivi</t>
        </is>
      </c>
      <c r="C41" s="48" t="inlineStr">
        <is>
          <t>Gouvernance et appuis</t>
        </is>
      </c>
      <c r="D41" s="41" t="inlineStr">
        <is>
          <t>/remboursements</t>
        </is>
      </c>
      <c r="E41" s="41" t="inlineStr">
        <is>
          <t>Agent ATDA + Producteur</t>
        </is>
      </c>
      <c r="F41" s="42" t="inlineStr">
        <is>
          <t>P1</t>
        </is>
      </c>
      <c r="G41" s="41" t="inlineStr">
        <is>
          <t>Appui remis « À rembourser » (3 échéances).</t>
        </is>
      </c>
      <c r="H41" s="41" t="inlineStr">
        <is>
          <t>1. Agent : remettre un appui avec « À rembourser », choisir la date de la 1re échéance.
2. Producteur : confirmer la réception puis ouvrir « Mes remboursements ».
3. Cliquer « Payer … FCFA » (essayer un numéro finissant par 0).</t>
        </is>
      </c>
      <c r="I41" s="41" t="inlineStr">
        <is>
          <t>L'échéancier apparaît. Le paiement FakePay règle la prochaine échéance ; un numéro finissant par 0 échoue (démonstration). Aucun argent réel.</t>
        </is>
      </c>
      <c r="J41" s="43" t="inlineStr">
        <is>
          <t>Échéancier [10000, 10000, 10000] FCFA ; paiement FakePay : « en_attente » puis « reussi » après ~3 s, 1re échéance réglée (payé 10000 FCFA, réf. AGR-ED424A6F12) ; numéro finissant par 0 : « echoue », rien imputé.</t>
        </is>
      </c>
      <c r="K41" s="44" t="inlineStr">
        <is>
          <t>OK</t>
        </is>
      </c>
      <c r="L41" s="44" t="inlineStr">
        <is>
          <t>Claude (essai automatisé)</t>
        </is>
      </c>
      <c r="M41" s="45" t="n">
        <v>46323</v>
      </c>
      <c r="N41" s="44" t="n"/>
      <c r="O41" s="43" t="inlineStr">
        <is>
          <t>Vérifié par l'API ; aucun argent réel (FakePay).</t>
        </is>
      </c>
    </row>
    <row r="42" ht="73" customHeight="1" s="73">
      <c r="A42" s="46" t="inlineStr">
        <is>
          <t>GOU-04</t>
        </is>
      </c>
      <c r="B42" s="47" t="inlineStr">
        <is>
          <t>Suivi</t>
        </is>
      </c>
      <c r="C42" s="48" t="inlineStr">
        <is>
          <t>Gouvernance et appuis</t>
        </is>
      </c>
      <c r="D42" s="41" t="inlineStr">
        <is>
          <t>/recouvrement</t>
        </is>
      </c>
      <c r="E42" s="41" t="inlineStr">
        <is>
          <t>Agent ATDA + Administrateur MAEP</t>
        </is>
      </c>
      <c r="F42" s="42" t="inlineStr">
        <is>
          <t>P2</t>
        </is>
      </c>
      <c r="G42" s="41" t="inlineStr">
        <is>
          <t>Appuis remboursables en cours.</t>
        </is>
      </c>
      <c r="H42" s="41" t="inlineStr">
        <is>
          <t>1. Ouvrir « Recouvrement ».</t>
        </is>
      </c>
      <c r="I42" s="41" t="inlineStr">
        <is>
          <t>Reste dû, retards et taux de recouvrement par département sont affichés ; l'équipement du plateau d'un transformateur y figure.</t>
        </is>
      </c>
      <c r="J42" s="43" t="inlineStr">
        <is>
          <t>Recouvrement (agent, portefeuille) : 2 créances, 60 000 FCFA dont 40 000 payés, reste dû 20 000, retards 0 ; ventilation par type et par département (Alibori).</t>
        </is>
      </c>
      <c r="K42" s="44" t="inlineStr">
        <is>
          <t>OK</t>
        </is>
      </c>
      <c r="L42" s="44" t="inlineStr">
        <is>
          <t>Claude (essai automatisé)</t>
        </is>
      </c>
      <c r="M42" s="45" t="n">
        <v>46323</v>
      </c>
      <c r="N42" s="44" t="n"/>
      <c r="O42" s="43" t="inlineStr">
        <is>
          <t>Vérifié par l'API ; taux de recouvrement null faute d'échéance échue ; équipement du plateau d'un transformateur non vérifié.</t>
        </is>
      </c>
    </row>
    <row r="43" ht="73" customHeight="1" s="73">
      <c r="A43" s="46" t="inlineStr">
        <is>
          <t>GOU-05</t>
        </is>
      </c>
      <c r="B43" s="47" t="inlineStr">
        <is>
          <t>Suivi</t>
        </is>
      </c>
      <c r="C43" s="48" t="inlineStr">
        <is>
          <t>Gouvernance et appuis</t>
        </is>
      </c>
      <c r="D43" s="41" t="inlineStr">
        <is>
          <t>/selection</t>
        </is>
      </c>
      <c r="E43" s="41" t="inlineStr">
        <is>
          <t>Responsable de programme</t>
        </is>
      </c>
      <c r="F43" s="42" t="inlineStr">
        <is>
          <t>P1</t>
        </is>
      </c>
      <c r="G43" s="41" t="inlineStr">
        <is>
          <t>Connecté (téléphone 0197000004).</t>
        </is>
      </c>
      <c r="H43" s="41" t="inlineStr">
        <is>
          <t>1. « Nouvelle sélection » : 2 000 bénéficiaires, poids par défaut (confiance 0,5, route 0,3, superficie 0,2), département Alibori.
2. Lancer.</t>
        </is>
      </c>
      <c r="I43" s="41" t="inlineStr">
        <is>
          <t>Une proposition est calculée (10 053 fermes évaluées sur la base de démonstration).</t>
        </is>
      </c>
      <c r="J43" s="43" t="inlineStr">
        <is>
          <t>Sélection de 2 000 bénéficiaires (poids 0,5 / 0,3 / 0,2, Alibori) lancée : statut « proposition », 2 000 retenus sur 38 468 fermes évaluées.</t>
        </is>
      </c>
      <c r="K43" s="44" t="inlineStr">
        <is>
          <t>OK</t>
        </is>
      </c>
      <c r="L43" s="44" t="inlineStr">
        <is>
          <t>Claude (essai automatisé)</t>
        </is>
      </c>
      <c r="M43" s="45" t="n">
        <v>46323</v>
      </c>
      <c r="N43" s="44" t="inlineStr">
        <is>
          <t>ANO-001</t>
        </is>
      </c>
      <c r="O43" s="43" t="inlineStr">
        <is>
          <t>Écart avec le cahier : il annonce 10 053 fermes évaluées (chiffre du relevé du 19/10) ; l'API en renvoie 38 468 aujourd'hui. Voir l'anomalie ouverte.</t>
        </is>
      </c>
    </row>
    <row r="44" ht="86" customHeight="1" s="73">
      <c r="A44" s="46" t="inlineStr">
        <is>
          <t>GOU-06</t>
        </is>
      </c>
      <c r="B44" s="47" t="inlineStr">
        <is>
          <t>Suivi</t>
        </is>
      </c>
      <c r="C44" s="48" t="inlineStr">
        <is>
          <t>Gouvernance et appuis</t>
        </is>
      </c>
      <c r="D44" s="41" t="inlineStr">
        <is>
          <t>/selection</t>
        </is>
      </c>
      <c r="E44" s="41" t="inlineStr">
        <is>
          <t>Agent ATDA</t>
        </is>
      </c>
      <c r="F44" s="42" t="inlineStr">
        <is>
          <t>P1</t>
        </is>
      </c>
      <c r="G44" s="41" t="inlineStr">
        <is>
          <t>Sélection proposée (GOU-05).</t>
        </is>
      </c>
      <c r="H44" s="41" t="inlineStr">
        <is>
          <t>1. Valider avec un motif et la case « J'ai contrôlé un échantillon… ».
2. Tenter de valider avec le compte qui a lancé la sélection.</t>
        </is>
      </c>
      <c r="I44" s="41" t="inlineStr">
        <is>
          <t>La validation ouvre la période de contestation de 15 jours. Le lanceur ne peut pas valider sa propre sélection.</t>
        </is>
      </c>
      <c r="J44" s="43" t="inlineStr">
        <is>
          <t>Le lanceur (responsable) ne peut pas valider sa propre sélection (403) ; validation sans motif refusée (400) ; l'agent valide avec motif : « validee », contestation ouverte jusqu'au None.</t>
        </is>
      </c>
      <c r="K44" s="44" t="inlineStr">
        <is>
          <t>OK</t>
        </is>
      </c>
      <c r="L44" s="44" t="inlineStr">
        <is>
          <t>Claude (essai automatisé)</t>
        </is>
      </c>
      <c r="M44" s="45" t="n">
        <v>46323</v>
      </c>
      <c r="N44" s="44" t="n"/>
      <c r="O44" s="43" t="inlineStr">
        <is>
          <t>Vérifié par l'API ; la case « J'ai contrôlé un échantillon » est dans l'écran, non vue.</t>
        </is>
      </c>
    </row>
    <row r="45" ht="86" customHeight="1" s="73">
      <c r="A45" s="46" t="inlineStr">
        <is>
          <t>GOU-07</t>
        </is>
      </c>
      <c r="B45" s="47" t="inlineStr">
        <is>
          <t>Suivi</t>
        </is>
      </c>
      <c r="C45" s="48" t="inlineStr">
        <is>
          <t>Gouvernance et appuis</t>
        </is>
      </c>
      <c r="D45" s="41" t="inlineStr">
        <is>
          <t>/programmes</t>
        </is>
      </c>
      <c r="E45" s="41" t="inlineStr">
        <is>
          <t>Producteur</t>
        </is>
      </c>
      <c r="F45" s="42" t="inlineStr">
        <is>
          <t>P1</t>
        </is>
      </c>
      <c r="G45" s="41" t="inlineStr">
        <is>
          <t>Programme ouvert et programme clos en base.</t>
        </is>
      </c>
      <c r="H45" s="41" t="inlineStr">
        <is>
          <t>1. « Programmes » : candidater au programme ouvert (cocher la confirmation, « Déposer ma candidature »).
2. Ouvrir l'onglet « Clos ».</t>
        </is>
      </c>
      <c r="I45" s="41" t="inlineStr">
        <is>
          <t>Candidature déposée. Le programme clos affiche « Les candidatures sont closes. » sans bouton (l'API répond « Ce programme est clos depuis le JJ/MM/AAAA. »).</t>
        </is>
      </c>
      <c r="J45" s="43" t="inlineStr">
        <is>
          <t>Candidature déposée (201, statut deposee), 2e candidature refusée (409) ; programme clos : 400 « Ce programme est clos depuis le 31/12/2025. Les candidatures ne sont plus acceptées. ».</t>
        </is>
      </c>
      <c r="K45" s="44" t="inlineStr">
        <is>
          <t>OK</t>
        </is>
      </c>
      <c r="L45" s="44" t="inlineStr">
        <is>
          <t>Claude (essai automatisé)</t>
        </is>
      </c>
      <c r="M45" s="45" t="n">
        <v>46323</v>
      </c>
      <c r="N45" s="44" t="n"/>
      <c r="O45" s="43" t="inlineStr">
        <is>
          <t>Vérifié par l'API ; texte « Les candidatures sont closes. » sans bouton non vu à l'écran.</t>
        </is>
      </c>
    </row>
    <row r="46" ht="112" customHeight="1" s="73">
      <c r="A46" s="46" t="inlineStr">
        <is>
          <t>GOU-08</t>
        </is>
      </c>
      <c r="B46" s="47" t="inlineStr">
        <is>
          <t>Suivi</t>
        </is>
      </c>
      <c r="C46" s="48" t="inlineStr">
        <is>
          <t>Gouvernance et appuis</t>
        </is>
      </c>
      <c r="D46" s="41" t="inlineStr">
        <is>
          <t>/contestations</t>
        </is>
      </c>
      <c r="E46" s="41" t="inlineStr">
        <is>
          <t>Responsable de programme + Producteur + Agent ATDA</t>
        </is>
      </c>
      <c r="F46" s="42" t="inlineStr">
        <is>
          <t>P2</t>
        </is>
      </c>
      <c r="G46" s="41" t="inlineStr">
        <is>
          <t>Candidature en cours.</t>
        </is>
      </c>
      <c r="H46" s="41" t="inlineStr">
        <is>
          <t>1. Responsable (0197000004) : refuser une candidature avec un motif.
2. Producteur : « Programmes », lire le motif et la date, « Contester la décision ».
3. Agent : ouvrir « Candidatures ».</t>
        </is>
      </c>
      <c r="I46" s="41" t="inlineStr">
        <is>
          <t>La contestation n'est possible qu'une fois, sous 15 jours. La candidature repasse en instruction ; l'agent la voit avec le badge « Contestée » et le motif.</t>
        </is>
      </c>
      <c r="J46" s="43" t="inlineStr">
        <is>
          <t>Refus sans motif refusé (reason_required) ; refus motivé ; contestation acceptée : la candidature repasse « en_instruction » ; une 2e contestation est refusée (invalid_status) ; l'agent voit la candidature avec le motif de contestation « Inscrit avant la date limite. ».</t>
        </is>
      </c>
      <c r="K46" s="44" t="inlineStr">
        <is>
          <t>OK</t>
        </is>
      </c>
      <c r="L46" s="44" t="inlineStr">
        <is>
          <t>Claude (essai automatisé)</t>
        </is>
      </c>
      <c r="M46" s="45" t="n">
        <v>46323</v>
      </c>
      <c r="N46" s="44" t="n"/>
      <c r="O46" s="43" t="inlineStr">
        <is>
          <t>Vérifié par l'API ; badge « Contestée » non vu à l'écran ; délai de 15 jours non rejoué.</t>
        </is>
      </c>
    </row>
    <row r="47" ht="73" customHeight="1" s="73">
      <c r="A47" s="46" t="inlineStr">
        <is>
          <t>GOU-09</t>
        </is>
      </c>
      <c r="B47" s="47" t="inlineStr">
        <is>
          <t>Suivi</t>
        </is>
      </c>
      <c r="C47" s="48" t="inlineStr">
        <is>
          <t>Gouvernance et appuis</t>
        </is>
      </c>
      <c r="D47" s="41" t="inlineStr">
        <is>
          <t>/alertes</t>
        </is>
      </c>
      <c r="E47" s="41" t="inlineStr">
        <is>
          <t>Agent ATDA</t>
        </is>
      </c>
      <c r="F47" s="42" t="inlineStr">
        <is>
          <t>P2</t>
        </is>
      </c>
      <c r="G47" s="41" t="inlineStr">
        <is>
          <t>Connecté (téléphone 0197000002).</t>
        </is>
      </c>
      <c r="H47" s="41" t="inlineStr">
        <is>
          <t>1. « Envoyer une alerte » : catégorie ravageur, gravité avertissement, Alibori, filière maïs.
2. Envoyer puis ouvrir « Boîte d'envoi ».</t>
        </is>
      </c>
      <c r="I47" s="41" t="inlineStr">
        <is>
          <t>Un SMS par producteur concerné, avec nombre de segments et encodage, statut « livré » (bandeau Simulation).</t>
        </is>
      </c>
      <c r="J47" s="43" t="inlineStr">
        <is>
          <t>Alerte ravageur envoyée : {'sent': 9, 'delivered': 9, 'failed': 0} ; boîte d'envoi : 9 SMS dont la 1re ligne indique segments=2, encodage=UCS-2, statut=livre.</t>
        </is>
      </c>
      <c r="K47" s="44" t="inlineStr">
        <is>
          <t>OK</t>
        </is>
      </c>
      <c r="L47" s="44" t="inlineStr">
        <is>
          <t>Claude (essai automatisé)</t>
        </is>
      </c>
      <c r="M47" s="45" t="n">
        <v>46323</v>
      </c>
      <c r="N47" s="44" t="n"/>
      <c r="O47" s="43" t="inlineStr">
        <is>
          <t>Vérifié par l'API ; bandeau « Simulation » non vu à l'écran.</t>
        </is>
      </c>
    </row>
    <row r="48" ht="60" customHeight="1" s="73">
      <c r="A48" s="46" t="inlineStr">
        <is>
          <t>GOU-10</t>
        </is>
      </c>
      <c r="B48" s="47" t="inlineStr">
        <is>
          <t>Suivi</t>
        </is>
      </c>
      <c r="C48" s="48" t="inlineStr">
        <is>
          <t>Gouvernance et appuis</t>
        </is>
      </c>
      <c r="D48" s="41" t="inlineStr">
        <is>
          <t>/alertes</t>
        </is>
      </c>
      <c r="E48" s="41" t="inlineStr">
        <is>
          <t>Agent ATDA + Administrateur MAEP</t>
        </is>
      </c>
      <c r="F48" s="42" t="inlineStr">
        <is>
          <t>P3</t>
        </is>
      </c>
      <c r="G48" s="41" t="inlineStr">
        <is>
          <t>Connecté (téléphone 0197000002).</t>
        </is>
      </c>
      <c r="H48" s="41" t="inlineStr">
        <is>
          <t>1. Créer une alerte de gravité « urgente ».</t>
        </is>
      </c>
      <c r="I48" s="41" t="inlineStr">
        <is>
          <t>L'alerte urgente exige une seconde validation avant diffusion.</t>
        </is>
      </c>
      <c r="J48" s="43" t="inlineStr">
        <is>
          <t>Alerte urgente créée au statut « en_attente_validation » ; envoi immédiat refusé (400 approval_required) : seconde validation exigée.</t>
        </is>
      </c>
      <c r="K48" s="44" t="inlineStr">
        <is>
          <t>OK</t>
        </is>
      </c>
      <c r="L48" s="44" t="inlineStr">
        <is>
          <t>Claude (essai automatisé)</t>
        </is>
      </c>
      <c r="M48" s="45" t="n">
        <v>46323</v>
      </c>
      <c r="N48" s="44" t="n"/>
      <c r="O48" s="43" t="inlineStr">
        <is>
          <t>Vérifié par l'API ; la seconde validation par un autre compte n'a pas été jouée.</t>
        </is>
      </c>
    </row>
    <row r="49" ht="99" customHeight="1" s="73">
      <c r="A49" s="46" t="inlineStr">
        <is>
          <t>GOU-11</t>
        </is>
      </c>
      <c r="B49" s="47" t="inlineStr">
        <is>
          <t>Suivi</t>
        </is>
      </c>
      <c r="C49" s="48" t="inlineStr">
        <is>
          <t>Gouvernance et appuis</t>
        </is>
      </c>
      <c r="D49" s="41" t="inlineStr">
        <is>
          <t>/messages</t>
        </is>
      </c>
      <c r="E49" s="41" t="inlineStr">
        <is>
          <t>Producteur + Agent ATDA</t>
        </is>
      </c>
      <c r="F49" s="42" t="inlineStr">
        <is>
          <t>P2</t>
        </is>
      </c>
      <c r="G49" s="41" t="inlineStr">
        <is>
          <t>Producteur rattaché à un agent de commune.</t>
        </is>
      </c>
      <c r="H49" s="41" t="inlineStr">
        <is>
          <t>1. Producteur : « Mes messages », onglet « Mon agent ATDA », écrire et « Envoyer ».
2. Agent : « Mes messages », onglet « Messages des producteurs », répondre.</t>
        </is>
      </c>
      <c r="I49" s="41" t="inlineStr">
        <is>
          <t>L'agent reçoit le message et répond ; le producteur est prévenu aussi par SMS (visible dans la boîte d'envoi).</t>
        </is>
      </c>
      <c r="J49" s="43" t="inlineStr">
        <is>
          <t>Le producteur écrit à son agent (201), la conversation apparaît côté agent, l'agent répond (201), le producteur relit la réponse ; boîte d'envoi : SMS « votre agent ATDA vous a répondu. Ouvrez « Mes messages » » livré au producteur.</t>
        </is>
      </c>
      <c r="K49" s="44" t="inlineStr">
        <is>
          <t>OK</t>
        </is>
      </c>
      <c r="L49" s="44" t="inlineStr">
        <is>
          <t>Claude (essai automatisé)</t>
        </is>
      </c>
      <c r="M49" s="45" t="n">
        <v>46323</v>
      </c>
      <c r="N49" s="44" t="n"/>
      <c r="O49" s="43" t="inlineStr">
        <is>
          <t>Vérifié par l'API.</t>
        </is>
      </c>
    </row>
    <row r="50" ht="125" customHeight="1" s="73">
      <c r="A50" s="46" t="inlineStr">
        <is>
          <t>GOU-12</t>
        </is>
      </c>
      <c r="B50" s="47" t="inlineStr">
        <is>
          <t>Suivi</t>
        </is>
      </c>
      <c r="C50" s="48" t="inlineStr">
        <is>
          <t>Gouvernance et appuis</t>
        </is>
      </c>
      <c r="D50" s="41" t="inlineStr">
        <is>
          <t>/formations</t>
        </is>
      </c>
      <c r="E50" s="41" t="inlineStr">
        <is>
          <t>Agent ATDA + Transformateur</t>
        </is>
      </c>
      <c r="F50" s="42" t="inlineStr">
        <is>
          <t>P3</t>
        </is>
      </c>
      <c r="G50" s="41" t="inlineStr">
        <is>
          <t>Connecté (téléphone 0197000002).</t>
        </is>
      </c>
      <c r="H50" s="41" t="inlineStr">
        <is>
          <t>1. Agent : « Formations », « Programmer une formation » (public : transformateurs, date du jour).
2. Transformateur du même département : « M'inscrire ».
3. Agent : « Inscrits et présence », cocher la présence, onglet « Rapport ».</t>
        </is>
      </c>
      <c r="I50" s="41" t="inlineStr">
        <is>
          <t>Inscription volontaire, présence enregistrée à partir du jour de la séance, rapport par département (inscrits, présents, taux).</t>
        </is>
      </c>
      <c r="J50" s="43" t="inlineStr">
        <is>
          <t>Formation « stockage » programmée pour producteurs et transformateurs (aujourd'hui, Mairie de Kandi) ; inscription volontaire d'un producteur (201) ; un transformateur d'un autre département ne la voit pas (404) ; présence cochée (200) ; rapport par département : 1 inscrit(s), 1 présent(s), taux 100 %.</t>
        </is>
      </c>
      <c r="K50" s="44" t="inlineStr">
        <is>
          <t>OK</t>
        </is>
      </c>
      <c r="L50" s="44" t="inlineStr">
        <is>
          <t>Claude (essai automatisé)</t>
        </is>
      </c>
      <c r="M50" s="45" t="n">
        <v>46323</v>
      </c>
      <c r="N50" s="44" t="n"/>
      <c r="O50" s="43" t="inlineStr">
        <is>
          <t>Vérifié par l'API ; le test avec un transformateur du même département (Borgou) n'a pas été fait faute de séance dans ce département.</t>
        </is>
      </c>
    </row>
    <row r="51" ht="99" customHeight="1" s="73">
      <c r="A51" s="46" t="inlineStr">
        <is>
          <t>SEA-01</t>
        </is>
      </c>
      <c r="B51" s="47" t="inlineStr">
        <is>
          <t>Suivi</t>
        </is>
      </c>
      <c r="C51" s="48" t="inlineStr">
        <is>
          <t>Dashboard et suivi-évaluation</t>
        </is>
      </c>
      <c r="D51" s="41" t="inlineStr">
        <is>
          <t>/tableau-de-bord</t>
        </is>
      </c>
      <c r="E51" s="41" t="inlineStr">
        <is>
          <t>Administrateur MAEP</t>
        </is>
      </c>
      <c r="F51" s="42" t="inlineStr">
        <is>
          <t>P1</t>
        </is>
      </c>
      <c r="G51" s="41" t="inlineStr">
        <is>
          <t>Connecté (téléphone 0197000005).</t>
        </is>
      </c>
      <c r="H51" s="41" t="inlineStr">
        <is>
          <t>1. Ouvrir « Tableau de bord ».
2. Filtrer sur l'Alibori.</t>
        </is>
      </c>
      <c r="I51" s="41" t="inlineStr">
        <is>
          <t>Chaque chiffre affiche sa source et sa date ; les données POC sont marquées « données de démonstration » ; une valeur absente affiche « non disponible ».</t>
        </is>
      </c>
      <c r="J51" s="43" t="inlineStr">
        <is>
          <t>Tableau de bord national (administrateur) : chaque indicateur affiche sa valeur, son unité, sa source (« Registre Agri-Digit (prototype, données fictives) ») et sa date de mise à jour (ex. 48 producteurs inscrits, 42 validés).</t>
        </is>
      </c>
      <c r="K51" s="44" t="inlineStr">
        <is>
          <t>OK</t>
        </is>
      </c>
      <c r="L51" s="44" t="inlineStr">
        <is>
          <t>Claude (essai automatisé)</t>
        </is>
      </c>
      <c r="M51" s="45" t="n">
        <v>46323</v>
      </c>
      <c r="N51" s="44" t="n"/>
      <c r="O51" s="43" t="inlineStr">
        <is>
          <t>Vérifié par l'API ; filtre Alibori et « non disponible » pour une valeur absente non contrôlés à l'écran.</t>
        </is>
      </c>
    </row>
    <row r="52" ht="190" customHeight="1" s="73">
      <c r="A52" s="46" t="inlineStr">
        <is>
          <t>SEA-02</t>
        </is>
      </c>
      <c r="B52" s="47" t="inlineStr">
        <is>
          <t>Suivi</t>
        </is>
      </c>
      <c r="C52" s="48" t="inlineStr">
        <is>
          <t>Dashboard et suivi-évaluation</t>
        </is>
      </c>
      <c r="D52" s="41" t="inlineStr">
        <is>
          <t>/suivi-evaluation</t>
        </is>
      </c>
      <c r="E52" s="41" t="inlineStr">
        <is>
          <t>Responsable de programme</t>
        </is>
      </c>
      <c r="F52" s="42" t="inlineStr">
        <is>
          <t>P1</t>
        </is>
      </c>
      <c r="G52" s="41" t="inlineStr">
        <is>
          <t>Connecté (téléphone 0197000004).</t>
        </is>
      </c>
      <c r="H52" s="41" t="inlineStr">
        <is>
          <t>1. Ouvrir « Suivi-évaluation ».
2. Lire « Production par filière et par saison », « Effectifs de producteurs validés », « Impact des appuis ».</t>
        </is>
      </c>
      <c r="I52" s="41" t="inlineStr">
        <is>
          <t>Cases de moins de 5 personnes « masquées » (l'administrateur les voit). Impact des appuis : « non disponible » avec 45 producteurs de démonstration, avec rappel que la comparaison n'est pas causale.</t>
        </is>
      </c>
      <c r="J52" s="43" t="inlineStr">
        <is>
          <t>Responsable de programme : « Production par filière et par saison » et « Effectifs de producteurs validés » affichent des cases masquées sous 5 personnes (masked=true, valeurs null, min_cell 5) ; l'administrateur voit les mêmes cases en clair (3 producteurs, 4 parcelles, 1 051 900 kg pour le maïs ; effectifs par département) ; « Impact des appuis » : available=false (« non disponible ») avec le rappel « Comparaison non causale : les appuis ne sont pas attribués au hasard… ».</t>
        </is>
      </c>
      <c r="K52" s="44" t="inlineStr">
        <is>
          <t>OK</t>
        </is>
      </c>
      <c r="L52" s="44" t="inlineStr">
        <is>
          <t>Claude (essai automatisé)</t>
        </is>
      </c>
      <c r="M52" s="45" t="n">
        <v>46323</v>
      </c>
      <c r="N52" s="44" t="n"/>
      <c r="O52" s="43" t="inlineStr">
        <is>
          <t>Vérifié par l'API ; rendu des trois tableaux à l'écran non vu.</t>
        </is>
      </c>
    </row>
    <row r="53" ht="99" customHeight="1" s="73">
      <c r="A53" s="46" t="inlineStr">
        <is>
          <t>SEA-03</t>
        </is>
      </c>
      <c r="B53" s="47" t="inlineStr">
        <is>
          <t>Suivi</t>
        </is>
      </c>
      <c r="C53" s="48" t="inlineStr">
        <is>
          <t>Dashboard et suivi-évaluation</t>
        </is>
      </c>
      <c r="D53" s="41" t="inlineStr">
        <is>
          <t>/couverture</t>
        </is>
      </c>
      <c r="E53" s="41" t="inlineStr">
        <is>
          <t>Administrateur MAEP</t>
        </is>
      </c>
      <c r="F53" s="42" t="inlineStr">
        <is>
          <t>P2</t>
        </is>
      </c>
      <c r="G53" s="41" t="inlineStr">
        <is>
          <t>Connecté (téléphone 0197000005).</t>
        </is>
      </c>
      <c r="H53" s="41" t="inlineStr">
        <is>
          <t>1. Ouvrir « Couverture et importations ».
2. Saisir une statistique sans source.
3. Importer un lot JSON.</t>
        </is>
      </c>
      <c r="I53" s="41" t="inlineStr">
        <is>
          <t>Bandeau « Données de démonstration (non officielles) ». La veille signale le riz 2025 (couverture 52,9 %, importations +50 %, production −25 %) et le soja (63,4 %). Une saisie sans source est refusée.</t>
        </is>
      </c>
      <c r="J53" s="43" t="inlineStr">
        <is>
          <t>Page « Couverture et importations » : bandeau « Données de démonstration (non officielles) », veille avec riz (52,9 %) et soja (63,4 %) ; la saisie d'une statistique sans source est refusée par l'API (400 « source : Ce champ est obligatoire »).</t>
        </is>
      </c>
      <c r="K53" s="44" t="inlineStr">
        <is>
          <t>OK</t>
        </is>
      </c>
      <c r="L53" s="44" t="inlineStr">
        <is>
          <t>Claude (essai automatisé)</t>
        </is>
      </c>
      <c r="M53" s="45" t="n">
        <v>46323</v>
      </c>
      <c r="N53" s="44" t="n"/>
      <c r="O53" s="43" t="inlineStr">
        <is>
          <t>Import d'un lot JSON non rejoué.</t>
        </is>
      </c>
    </row>
    <row r="54" ht="125" customHeight="1" s="73">
      <c r="A54" s="46" t="inlineStr">
        <is>
          <t>SEA-04</t>
        </is>
      </c>
      <c r="B54" s="47" t="inlineStr">
        <is>
          <t>Suivi</t>
        </is>
      </c>
      <c r="C54" s="48" t="inlineStr">
        <is>
          <t>Dashboard et suivi-évaluation</t>
        </is>
      </c>
      <c r="D54" s="41" t="inlineStr">
        <is>
          <t>/carte-acteurs</t>
        </is>
      </c>
      <c r="E54" s="41" t="inlineStr">
        <is>
          <t>Administrateur MAEP + Agent ATDA</t>
        </is>
      </c>
      <c r="F54" s="42" t="inlineStr">
        <is>
          <t>P2</t>
        </is>
      </c>
      <c r="G54" s="41" t="inlineStr">
        <is>
          <t>Connecté (téléphone 0197000005).</t>
        </is>
      </c>
      <c r="H54" s="41" t="inlineStr">
        <is>
          <t>1. Ouvrir « Carte des acteurs ».
2. Cocher/décocher les couches (sites, aménagements, organisations, coopératives).
3. Filtrer par filière.</t>
        </is>
      </c>
      <c r="I54" s="41" t="inlineStr">
        <is>
          <t>Coopératives et organisations sont placées au centre de leur département ; jamais de téléphone ni de nom. Les parcelles (avec code producteur) ne sont visibles que de l'agent et de l'administration.</t>
        </is>
      </c>
      <c r="J54" s="43" t="inlineStr">
        <is>
          <t>Carte des acteurs (administrateur) : 7 couches (sites 2, aménagements 1, organisations 1, coopératives 1, parcelles avec code producteur 47, entreprises 2, matériel 2) ; la page rappelle « jamais de téléphone ni de nom de personne » ; aucune fuite de nom ou de téléphone dans les données (SEC-05).</t>
        </is>
      </c>
      <c r="K54" s="44" t="inlineStr">
        <is>
          <t>OK</t>
        </is>
      </c>
      <c r="L54" s="44" t="inlineStr">
        <is>
          <t>Claude (essai automatisé)</t>
        </is>
      </c>
      <c r="M54" s="45" t="n">
        <v>46323</v>
      </c>
      <c r="N54" s="44" t="n"/>
      <c r="O54" s="43" t="inlineStr">
        <is>
          <t>Les couches ont été listées, mais pas cochées/décochées ni filtrées par filière à l'écran.</t>
        </is>
      </c>
    </row>
    <row r="55" ht="60" customHeight="1" s="73">
      <c r="A55" s="46" t="inlineStr">
        <is>
          <t>SEA-05</t>
        </is>
      </c>
      <c r="B55" s="47" t="inlineStr">
        <is>
          <t>Suivi</t>
        </is>
      </c>
      <c r="C55" s="48" t="inlineStr">
        <is>
          <t>Dashboard et suivi-évaluation</t>
        </is>
      </c>
      <c r="D55" s="41" t="inlineStr">
        <is>
          <t>/exports</t>
        </is>
      </c>
      <c r="E55" s="41" t="inlineStr">
        <is>
          <t>Administrateur MAEP</t>
        </is>
      </c>
      <c r="F55" s="42" t="inlineStr">
        <is>
          <t>P3</t>
        </is>
      </c>
      <c r="G55" s="41" t="inlineStr">
        <is>
          <t>Connecté (téléphone 0197000005).</t>
        </is>
      </c>
      <c r="H55" s="41" t="inlineStr">
        <is>
          <t>1. Ouvrir « Exports ».
2. Exporter la liste des producteurs avec le motif « test de recette ».</t>
        </is>
      </c>
      <c r="I55" s="41" t="inlineStr">
        <is>
          <t>Fichier CSV téléchargé. Voir aussi SEC-02 pour le contrôle du motif et du journal.</t>
        </is>
      </c>
      <c r="J55" s="43" t="inlineStr">
        <is>
          <t>Export CSV des producteurs avec le motif « test de recette (export CSV) » : fichier CSV reçu (en-têtes code;npi;prenom;nom;…, 48 lignes).</t>
        </is>
      </c>
      <c r="K55" s="44" t="inlineStr">
        <is>
          <t>OK</t>
        </is>
      </c>
      <c r="L55" s="44" t="inlineStr">
        <is>
          <t>Claude (essai automatisé)</t>
        </is>
      </c>
      <c r="M55" s="45" t="n">
        <v>46323</v>
      </c>
      <c r="N55" s="44" t="n"/>
      <c r="O55" s="43" t="inlineStr">
        <is>
          <t>Vérifié par l'API ; le téléchargement par le navigateur n'a pas été joué.</t>
        </is>
      </c>
    </row>
    <row r="56" ht="151" customHeight="1" s="73">
      <c r="A56" s="46" t="inlineStr">
        <is>
          <t>SEA-06</t>
        </is>
      </c>
      <c r="B56" s="47" t="inlineStr">
        <is>
          <t>Suivi</t>
        </is>
      </c>
      <c r="C56" s="48" t="inlineStr">
        <is>
          <t>Dashboard et suivi-évaluation</t>
        </is>
      </c>
      <c r="D56" s="41" t="inlineStr">
        <is>
          <t>/enquetes</t>
        </is>
      </c>
      <c r="E56" s="41" t="inlineStr">
        <is>
          <t>Agent ATDA</t>
        </is>
      </c>
      <c r="F56" s="42" t="inlineStr">
        <is>
          <t>P2</t>
        </is>
      </c>
      <c r="G56" s="41" t="inlineStr">
        <is>
          <t>Connecté (téléphone 0197000002).</t>
        </is>
      </c>
      <c r="H56" s="41" t="inlineStr">
        <is>
          <t>1. « Enquêtes de satisfaction », « Créer une enquête » (3 questions), « Copier le lien ».
2. Déconnecté, ouvrir /enquete/&lt;code&gt;, noter et envoyer.
3. Recharger la page.
4. Revenir dans « Résultats ».</t>
        </is>
      </c>
      <c r="I56" s="41" t="inlineStr">
        <is>
          <t>Réponse sans compte. Après rechargement : « vous avez déjà répondu ». Résultats : moyennes, ventilation masquée sous 5 réponses, commentaire libre sans lieu ni appareil.</t>
        </is>
      </c>
      <c r="J56" s="43" t="inlineStr">
        <is>
          <t>Enquête de 3 questions créée (lien /enquete/L4687N) ; réponse sans compte acceptée (201) ; 2e réponse du même appareil refusée (409 already_answered) ; résultats : {"code": "L4687N", "title": "Satisfaction recette", "status": "active", "responses": 1, "low_sample": true, "min_cell": 5, "questions": [{"index": 0, "text": "Qualité du produit", "mean": 5, "distribution": {"1": 0, "2":.</t>
        </is>
      </c>
      <c r="K56" s="44" t="inlineStr">
        <is>
          <t>OK</t>
        </is>
      </c>
      <c r="L56" s="44" t="inlineStr">
        <is>
          <t>Claude (essai automatisé)</t>
        </is>
      </c>
      <c r="M56" s="45" t="n">
        <v>46323</v>
      </c>
      <c r="N56" s="44" t="n"/>
      <c r="O56" s="43" t="inlineStr">
        <is>
          <t>Vérifié par l'API ; message « vous avez déjà répondu » à l'écran non vu.</t>
        </is>
      </c>
    </row>
    <row r="57" ht="112" customHeight="1" s="73">
      <c r="A57" s="49" t="inlineStr">
        <is>
          <t>ASS-01</t>
        </is>
      </c>
      <c r="B57" s="50" t="inlineStr">
        <is>
          <t>Intelligence artificielle</t>
        </is>
      </c>
      <c r="C57" s="51" t="inlineStr">
        <is>
          <t>Assistant IA agronomique</t>
        </is>
      </c>
      <c r="D57" s="41" t="inlineStr">
        <is>
          <t>/assistant</t>
        </is>
      </c>
      <c r="E57" s="41" t="inlineStr">
        <is>
          <t>Producteur</t>
        </is>
      </c>
      <c r="F57" s="42" t="inlineStr">
        <is>
          <t>P1</t>
        </is>
      </c>
      <c r="G57" s="41" t="inlineStr">
        <is>
          <t>Connecté (téléphone 0197000001).</t>
        </is>
      </c>
      <c r="H57" s="41" t="inlineStr">
        <is>
          <t>1. Ouvrir l'assistant (« Poser une question »).
2. Poser : « Quand semer le maïs à Banikoara ? ».</t>
        </is>
      </c>
      <c r="I57" s="41" t="inlineStr">
        <is>
          <t>La réponse cite la fiche « Quand semer le maïs à Banikoara (Alibori, nord du Bénin) » avec sa source et la mention « Conseil indicatif, vérifiez avec votre agent ATDA ».</t>
        </is>
      </c>
      <c r="J57" s="43" t="inlineStr">
        <is>
          <t>« Quand semer le maïs à Banikoara ? » : la réponse cite la fiche « Quand semer le maïs à Banikoara (Alibori, nord du Bénin) » avec sa source (WOCAT/QCAT fiche 6686, INRAB fiche D-1) et le disclaimer « Conseil indicatif, vérifiez avec votre agent ATDA ».</t>
        </is>
      </c>
      <c r="K57" s="44" t="inlineStr">
        <is>
          <t>OK</t>
        </is>
      </c>
      <c r="L57" s="44" t="inlineStr">
        <is>
          <t>Claude (essai automatisé)</t>
        </is>
      </c>
      <c r="M57" s="45" t="n">
        <v>46323</v>
      </c>
      <c r="N57" s="44" t="n"/>
      <c r="O57" s="43" t="inlineStr">
        <is>
          <t>Vérifié par l'API ; affichage dans l'écran de l'assistant non vu.</t>
        </is>
      </c>
    </row>
    <row r="58" ht="73" customHeight="1" s="73">
      <c r="A58" s="49" t="inlineStr">
        <is>
          <t>ASS-02</t>
        </is>
      </c>
      <c r="B58" s="50" t="inlineStr">
        <is>
          <t>Intelligence artificielle</t>
        </is>
      </c>
      <c r="C58" s="51" t="inlineStr">
        <is>
          <t>Assistant IA agronomique</t>
        </is>
      </c>
      <c r="D58" s="41" t="inlineStr">
        <is>
          <t>/assistant</t>
        </is>
      </c>
      <c r="E58" s="41" t="inlineStr">
        <is>
          <t>Producteur</t>
        </is>
      </c>
      <c r="F58" s="42" t="inlineStr">
        <is>
          <t>P1</t>
        </is>
      </c>
      <c r="G58" s="41" t="inlineStr">
        <is>
          <t>Connecté (téléphone 0197000001).</t>
        </is>
      </c>
      <c r="H58" s="41" t="inlineStr">
        <is>
          <t>1. Poser : « Quelle dose d'insecticide pour la chenille légionnaire ? ».</t>
        </is>
      </c>
      <c r="I58" s="41" t="inlineStr">
        <is>
          <t>Pas de dose donnée : statut « escalated » et renvoi vers un agent.</t>
        </is>
      </c>
      <c r="J58" s="43" t="inlineStr">
        <is>
          <t>« Quelle dose d'insecticide pour la chenille légionnaire ? » : aucune dose, statut « escalated », réponse « transmise à l'agent ATDA de votre secteur ».</t>
        </is>
      </c>
      <c r="K58" s="44" t="inlineStr">
        <is>
          <t>OK</t>
        </is>
      </c>
      <c r="L58" s="44" t="inlineStr">
        <is>
          <t>Claude (essai automatisé)</t>
        </is>
      </c>
      <c r="M58" s="45" t="n">
        <v>46323</v>
      </c>
      <c r="N58" s="44" t="n"/>
      <c r="O58" s="43" t="inlineStr">
        <is>
          <t>Vérifié par l'API.</t>
        </is>
      </c>
    </row>
    <row r="59" ht="86" customHeight="1" s="73">
      <c r="A59" s="49" t="inlineStr">
        <is>
          <t>ASS-03</t>
        </is>
      </c>
      <c r="B59" s="50" t="inlineStr">
        <is>
          <t>Intelligence artificielle</t>
        </is>
      </c>
      <c r="C59" s="51" t="inlineStr">
        <is>
          <t>Assistant IA agronomique</t>
        </is>
      </c>
      <c r="D59" s="41" t="inlineStr">
        <is>
          <t>/assistant</t>
        </is>
      </c>
      <c r="E59" s="41" t="inlineStr">
        <is>
          <t>Producteur</t>
        </is>
      </c>
      <c r="F59" s="42" t="inlineStr">
        <is>
          <t>P2</t>
        </is>
      </c>
      <c r="G59" s="41" t="inlineStr">
        <is>
          <t>Connecté (téléphone 0197000001). Parcelle avec campagne ; accès Internet.</t>
        </is>
      </c>
      <c r="H59" s="41" t="inlineStr">
        <is>
          <t>1. Poser une question sur la culture de la parcelle.</t>
        </is>
      </c>
      <c r="I59" s="41" t="inlineStr">
        <is>
          <t>La réponse tient compte du type et de la surface de la parcelle, de la culture, du stade et de la météo réelle des 3 prochains jours (jamais d'une météo simulée).</t>
        </is>
      </c>
      <c r="J59" s="43" t="inlineStr">
        <is>
          <t>Question posée au producteur : réponse correcte avec fiche (Banikoara, semis) ; la prise en compte du type et de la surface de la parcelle, du stade et de la météo ne ressort pas du texte renvoyé.</t>
        </is>
      </c>
      <c r="K59" s="44" t="inlineStr">
        <is>
          <t>En cours</t>
        </is>
      </c>
      <c r="L59" s="44" t="inlineStr">
        <is>
          <t>Claude (essai automatisé)</t>
        </is>
      </c>
      <c r="M59" s="45" t="n">
        <v>46323</v>
      </c>
      <c r="N59" s="44" t="n"/>
      <c r="O59" s="43" t="inlineStr">
        <is>
          <t>À confirmer à l'écran ; couvert par le test automatisé « test_assistant_context_carries_the_parcel_and_real_weather » du dépôt (non rejoué ici).</t>
        </is>
      </c>
    </row>
    <row r="60" ht="112" customHeight="1" s="73">
      <c r="A60" s="49" t="inlineStr">
        <is>
          <t>ASS-04</t>
        </is>
      </c>
      <c r="B60" s="50" t="inlineStr">
        <is>
          <t>Intelligence artificielle</t>
        </is>
      </c>
      <c r="C60" s="51" t="inlineStr">
        <is>
          <t>Assistant IA agronomique</t>
        </is>
      </c>
      <c r="D60" s="41" t="inlineStr">
        <is>
          <t>/assistant</t>
        </is>
      </c>
      <c r="E60" s="41" t="inlineStr">
        <is>
          <t>Agent ATDA + Agronome INRAB + Responsable de programme + Administrateur MAEP</t>
        </is>
      </c>
      <c r="F60" s="42" t="inlineStr">
        <is>
          <t>P1</t>
        </is>
      </c>
      <c r="G60" s="41" t="inlineStr">
        <is>
          <t>Connecté avec chacun des 4 rôles.</t>
        </is>
      </c>
      <c r="H60" s="41" t="inlineStr">
        <is>
          <t>1. Dans la rubrique « Intelligence artificielle » de la sidebar, ouvrir « Poser une question ».
2. Poser « Quand semer le maïs à Banikoara ? ».</t>
        </is>
      </c>
      <c r="I60" s="41" t="inlineStr">
        <is>
          <t>L'entrée est présente et l'assistant répond avec fiche et source (nouvelle exposition de l'assistant à ces rôles).</t>
        </is>
      </c>
      <c r="J60" s="43" t="inlineStr">
        <is>
          <t>Agent ATDA, Agronome INRAB, Responsable de programme et Administrateur : la question « Quand semer le maïs à Banikoara ? » reçoit la même réponse avec fiche ; les 6 autres rôles sont refusés (403). L'entrée du menu a été contrôlée en NAV-03/NAV-04/NAV-05/NAV-12.</t>
        </is>
      </c>
      <c r="K60" s="44" t="inlineStr">
        <is>
          <t>OK</t>
        </is>
      </c>
      <c r="L60" s="44" t="inlineStr">
        <is>
          <t>Claude (essai automatisé)</t>
        </is>
      </c>
      <c r="M60" s="45" t="n">
        <v>46323</v>
      </c>
      <c r="N60" s="44" t="n"/>
      <c r="O60" s="43" t="inlineStr">
        <is>
          <t>Vérifié par l'API et par le menu.</t>
        </is>
      </c>
    </row>
    <row r="61" ht="60" customHeight="1" s="73">
      <c r="A61" s="49" t="inlineStr">
        <is>
          <t>ASS-05</t>
        </is>
      </c>
      <c r="B61" s="50" t="inlineStr">
        <is>
          <t>Intelligence artificielle</t>
        </is>
      </c>
      <c r="C61" s="51" t="inlineStr">
        <is>
          <t>Assistant IA agronomique</t>
        </is>
      </c>
      <c r="D61" s="41" t="inlineStr">
        <is>
          <t>/assistant</t>
        </is>
      </c>
      <c r="E61" s="41" t="inlineStr">
        <is>
          <t>Producteur</t>
        </is>
      </c>
      <c r="F61" s="42" t="inlineStr">
        <is>
          <t>P3</t>
        </is>
      </c>
      <c r="G61" s="41" t="inlineStr">
        <is>
          <t>Navigateur Chrome (voix du navigateur).</t>
        </is>
      </c>
      <c r="H61" s="41" t="inlineStr">
        <is>
          <t>1. Utiliser « Écouter » sur une réponse.
2. Utiliser la dictée.</t>
        </is>
      </c>
      <c r="I61" s="41" t="inlineStr">
        <is>
          <t>Lecture et dictée fonctionnent en français uniquement (les voix en langues nationales ne sont pas disponibles).</t>
        </is>
      </c>
      <c r="J61" s="43" t="inlineStr">
        <is>
          <t>L'assistant propose « Dicter la question » et « Écouter » ; ni la dictée ni la lecture ne peuvent être jouées dans ce navigateur d'essai.</t>
        </is>
      </c>
      <c r="K61" s="44" t="inlineStr">
        <is>
          <t>En cours</t>
        </is>
      </c>
      <c r="L61" s="44" t="inlineStr">
        <is>
          <t>Claude (essai automatisé)</t>
        </is>
      </c>
      <c r="M61" s="45" t="n">
        <v>46323</v>
      </c>
      <c r="N61" s="44" t="n"/>
      <c r="O61" s="43" t="inlineStr">
        <is>
          <t>À faire dans Chrome avec micro et son.</t>
        </is>
      </c>
    </row>
    <row r="62" ht="73" customHeight="1" s="73">
      <c r="A62" s="49" t="inlineStr">
        <is>
          <t>ASS-06</t>
        </is>
      </c>
      <c r="B62" s="50" t="inlineStr">
        <is>
          <t>Intelligence artificielle</t>
        </is>
      </c>
      <c r="C62" s="51" t="inlineStr">
        <is>
          <t>Assistant IA agronomique</t>
        </is>
      </c>
      <c r="D62" s="41" t="inlineStr">
        <is>
          <t>/fiches</t>
        </is>
      </c>
      <c r="E62" s="41" t="inlineStr">
        <is>
          <t>Agronome INRAB + Administrateur MAEP</t>
        </is>
      </c>
      <c r="F62" s="42" t="inlineStr">
        <is>
          <t>P2</t>
        </is>
      </c>
      <c r="G62" s="41" t="inlineStr">
        <is>
          <t>Connecté (téléphone 0197000003).</t>
        </is>
      </c>
      <c r="H62" s="41" t="inlineStr">
        <is>
          <t>1. Ouvrir « Fiches agronomiques ».
2. Consulter une fiche, vérifier sa source et sa version.</t>
        </is>
      </c>
      <c r="I62" s="41" t="inlineStr">
        <is>
          <t>Les fiches publiées (42 en démonstration) sont lisibles avec leur source ; les versions sont conservées.</t>
        </is>
      </c>
      <c r="J62" s="43" t="inlineStr">
        <is>
          <t>Fiches agronomiques lisibles par l'agronome : 86 au total dont 42 publiées ; chaque fiche porte une source et une version ; l'historique des versions est consultable.</t>
        </is>
      </c>
      <c r="K62" s="44" t="inlineStr">
        <is>
          <t>OK</t>
        </is>
      </c>
      <c r="L62" s="44" t="inlineStr">
        <is>
          <t>Claude (essai automatisé)</t>
        </is>
      </c>
      <c r="M62" s="45" t="n">
        <v>46323</v>
      </c>
      <c r="N62" s="44" t="n"/>
      <c r="O62" s="43" t="inlineStr">
        <is>
          <t>Vérifié par l'API ; le cahier annonce 42 fiches publiées : écart de décompte à confirmer sur l'écran.</t>
        </is>
      </c>
    </row>
    <row r="63" ht="99" customHeight="1" s="73">
      <c r="A63" s="49" t="inlineStr">
        <is>
          <t>NLP-01</t>
        </is>
      </c>
      <c r="B63" s="50" t="inlineStr">
        <is>
          <t>Intelligence artificielle</t>
        </is>
      </c>
      <c r="C63" s="51" t="inlineStr">
        <is>
          <t>Module linguistique (langues nationales)</t>
        </is>
      </c>
      <c r="D63" s="41" t="inlineStr">
        <is>
          <t>/assistant</t>
        </is>
      </c>
      <c r="E63" s="41" t="inlineStr">
        <is>
          <t>Producteur</t>
        </is>
      </c>
      <c r="F63" s="42" t="inlineStr">
        <is>
          <t>P2</t>
        </is>
      </c>
      <c r="G63" s="41" t="inlineStr">
        <is>
          <t>Connecté (téléphone 0197000001).</t>
        </is>
      </c>
      <c r="H63" s="41" t="inlineStr">
        <is>
          <t>1. Choisir la langue « Fɔngbè » dans l'assistant.
2. Poser une question sans réponse validée.</t>
        </is>
      </c>
      <c r="I63" s="41" t="inlineStr">
        <is>
          <t>Réponse en français avec la mention qu'aucune réponse validée n'existe ; la question part au MTDI. Aucun texte en fon n'est fabriqué.</t>
        </is>
      </c>
      <c r="J63" s="43" t="inlineStr">
        <is>
          <t>Question en « fon » sans réponse validée : réponse en français (language=fr, notice=no_validated_answer) et la question arrive dans la file du MTDI (« tst-recette fd9ddb semis »). Aucun texte en fon n'est fabriqué.</t>
        </is>
      </c>
      <c r="K63" s="44" t="inlineStr">
        <is>
          <t>OK</t>
        </is>
      </c>
      <c r="L63" s="44" t="inlineStr">
        <is>
          <t>Claude (essai automatisé)</t>
        </is>
      </c>
      <c r="M63" s="45" t="n">
        <v>46323</v>
      </c>
      <c r="N63" s="44" t="n"/>
      <c r="O63" s="43" t="inlineStr">
        <is>
          <t>Vérifié par l'API ; chaîne marquée « tst-recette » (aucun mot de fon n'a été écrit).</t>
        </is>
      </c>
    </row>
    <row r="64" ht="73" customHeight="1" s="73">
      <c r="A64" s="49" t="inlineStr">
        <is>
          <t>NLP-02</t>
        </is>
      </c>
      <c r="B64" s="50" t="inlineStr">
        <is>
          <t>Intelligence artificielle</t>
        </is>
      </c>
      <c r="C64" s="51" t="inlineStr">
        <is>
          <t>Module linguistique (langues nationales)</t>
        </is>
      </c>
      <c r="D64" s="41" t="inlineStr">
        <is>
          <t>/langues</t>
        </is>
      </c>
      <c r="E64" s="41" t="inlineStr">
        <is>
          <t>Représentant MTDI</t>
        </is>
      </c>
      <c r="F64" s="42" t="inlineStr">
        <is>
          <t>P2</t>
        </is>
      </c>
      <c r="G64" s="41" t="inlineStr">
        <is>
          <t>Comptes 0197000011 et 0197000012. Question posée en NLP-01.</t>
        </is>
      </c>
      <c r="H64" s="41" t="inlineStr">
        <is>
          <t>1. MTDI : « Langues », « Corpus de l'assistant », « Rédiger la réponse ».
2. MTDI 2 : « Valider ».
3. Producteur : reposer la question.</t>
        </is>
      </c>
      <c r="I64" s="41" t="inlineStr">
        <is>
          <t>La question reçoit la réponse validée dans la langue choisie.</t>
        </is>
      </c>
      <c r="J64" s="43" t="inlineStr">
        <is>
          <t>Réponse rédigée par le MTDI 1, validée par le MTDI 2 (« valide ») ; la question reposée reçoit la réponse validée (language=fon, backend=corpus).</t>
        </is>
      </c>
      <c r="K64" s="44" t="inlineStr">
        <is>
          <t>OK</t>
        </is>
      </c>
      <c r="L64" s="44" t="inlineStr">
        <is>
          <t>Claude (essai automatisé)</t>
        </is>
      </c>
      <c r="M64" s="45" t="n">
        <v>46323</v>
      </c>
      <c r="N64" s="44" t="n"/>
      <c r="O64" s="43" t="inlineStr">
        <is>
          <t>Vérifié par l'API ; chaîne de test « tst-reponse-recette » (pas du fon) : entrée de recette à supprimer du corpus si besoin.</t>
        </is>
      </c>
    </row>
    <row r="65" ht="47" customHeight="1" s="73">
      <c r="A65" s="49" t="inlineStr">
        <is>
          <t>NLP-03</t>
        </is>
      </c>
      <c r="B65" s="50" t="inlineStr">
        <is>
          <t>Intelligence artificielle</t>
        </is>
      </c>
      <c r="C65" s="51" t="inlineStr">
        <is>
          <t>Module linguistique (langues nationales)</t>
        </is>
      </c>
      <c r="D65" s="41" t="inlineStr">
        <is>
          <t>/langues</t>
        </is>
      </c>
      <c r="E65" s="41" t="inlineStr">
        <is>
          <t>Représentant MTDI</t>
        </is>
      </c>
      <c r="F65" s="42" t="inlineStr">
        <is>
          <t>P2</t>
        </is>
      </c>
      <c r="G65" s="41" t="inlineStr">
        <is>
          <t>Réponse rédigée par le MTDI 1.</t>
        </is>
      </c>
      <c r="H65" s="41" t="inlineStr">
        <is>
          <t>1. Avec le compte MTDI 1 (auteur), tenter de valider sa propre réponse.</t>
        </is>
      </c>
      <c r="I65" s="41" t="inlineStr">
        <is>
          <t>Refus : la validation exige un second locuteur, jamais l'auteur.</t>
        </is>
      </c>
      <c r="J65" s="43" t="inlineStr">
        <is>
          <t>L'auteur de la réponse ne peut pas valider la sienne (400 same_author).</t>
        </is>
      </c>
      <c r="K65" s="44" t="inlineStr">
        <is>
          <t>OK</t>
        </is>
      </c>
      <c r="L65" s="44" t="inlineStr">
        <is>
          <t>Claude (essai automatisé)</t>
        </is>
      </c>
      <c r="M65" s="45" t="n">
        <v>46323</v>
      </c>
      <c r="N65" s="44" t="n"/>
      <c r="O65" s="43" t="inlineStr">
        <is>
          <t>Vérifié par l'API.</t>
        </is>
      </c>
    </row>
    <row r="66" ht="60" customHeight="1" s="73">
      <c r="A66" s="49" t="inlineStr">
        <is>
          <t>NLP-04</t>
        </is>
      </c>
      <c r="B66" s="50" t="inlineStr">
        <is>
          <t>Intelligence artificielle</t>
        </is>
      </c>
      <c r="C66" s="51" t="inlineStr">
        <is>
          <t>Module linguistique (langues nationales)</t>
        </is>
      </c>
      <c r="D66" s="41" t="inlineStr">
        <is>
          <t>/langues</t>
        </is>
      </c>
      <c r="E66" s="41" t="inlineStr">
        <is>
          <t>Représentant MTDI</t>
        </is>
      </c>
      <c r="F66" s="42" t="inlineStr">
        <is>
          <t>P2</t>
        </is>
      </c>
      <c r="G66" s="41" t="inlineStr">
        <is>
          <t>Connecté (téléphone 0197000011).</t>
        </is>
      </c>
      <c r="H66" s="41" t="inlineStr">
        <is>
          <t>1. « Traductions » : proposer un texte en fon ou en bariba.
2. Le faire noter par le 2e représentant (0197000012).</t>
        </is>
      </c>
      <c r="I66" s="41" t="inlineStr">
        <is>
          <t>La traduction est notée par un autre représentant. Une langue s'ouvre aux producteurs quand 80 % des clés sont validées. L'application ne fournit aucune traduction.</t>
        </is>
      </c>
      <c r="J66" s="43" t="inlineStr">
        <is>
          <t>Résumé par langue vérifié : fon et bba ont 1 156 clés dont 0 validée, « open_to_producers » = false (ouverture à 80 %).</t>
        </is>
      </c>
      <c r="K66" s="44" t="inlineStr">
        <is>
          <t>En cours</t>
        </is>
      </c>
      <c r="L66" s="44" t="inlineStr">
        <is>
          <t>Claude (essai automatisé)</t>
        </is>
      </c>
      <c r="M66" s="45" t="n">
        <v>46323</v>
      </c>
      <c r="N66" s="44" t="n"/>
      <c r="O66" s="43" t="inlineStr">
        <is>
          <t>Proposition et notation d'un texte en fon ou en bariba non jouées pour ne pas écrire de faux texte en langue nationale.</t>
        </is>
      </c>
    </row>
    <row r="67" ht="60" customHeight="1" s="73">
      <c r="A67" s="49" t="inlineStr">
        <is>
          <t>NLP-05</t>
        </is>
      </c>
      <c r="B67" s="50" t="inlineStr">
        <is>
          <t>Intelligence artificielle</t>
        </is>
      </c>
      <c r="C67" s="51" t="inlineStr">
        <is>
          <t>Module linguistique (langues nationales)</t>
        </is>
      </c>
      <c r="D67" s="41" t="inlineStr">
        <is>
          <t>/langues</t>
        </is>
      </c>
      <c r="E67" s="41" t="inlineStr">
        <is>
          <t>Représentant MTDI</t>
        </is>
      </c>
      <c r="F67" s="42" t="inlineStr">
        <is>
          <t>P3</t>
        </is>
      </c>
      <c r="G67" s="41" t="inlineStr">
        <is>
          <t>Connecté (téléphone 0197000011).</t>
        </is>
      </c>
      <c r="H67" s="41" t="inlineStr">
        <is>
          <t>1. Ouvrir la mesure de justesse du corpus.</t>
        </is>
      </c>
      <c r="I67" s="41" t="inlineStr">
        <is>
          <t>La justesse est mesurée par langue sur les reformulations ; la file des questions réellement posées est triée par fréquence.</t>
        </is>
      </c>
      <c r="J67" s="43" t="inlineStr">
        <is>
          <t>Statistiques de corpus par langue renvoyées (valid, pending, waiting, accuracy) ; justesse null faute de reformulations mesurées.</t>
        </is>
      </c>
      <c r="K67" s="44" t="inlineStr">
        <is>
          <t>En cours</t>
        </is>
      </c>
      <c r="L67" s="44" t="inlineStr">
        <is>
          <t>Claude (essai automatisé)</t>
        </is>
      </c>
      <c r="M67" s="45" t="n">
        <v>46323</v>
      </c>
      <c r="N67" s="44" t="n"/>
      <c r="O67" s="43" t="inlineStr">
        <is>
          <t>Tri de la file par fréquence et mesure de justesse non vérifiés.</t>
        </is>
      </c>
    </row>
    <row r="68" ht="112" customHeight="1" s="73">
      <c r="A68" s="49" t="inlineStr">
        <is>
          <t>NLP-06</t>
        </is>
      </c>
      <c r="B68" s="50" t="inlineStr">
        <is>
          <t>Intelligence artificielle</t>
        </is>
      </c>
      <c r="C68" s="51" t="inlineStr">
        <is>
          <t>Module linguistique (langues nationales)</t>
        </is>
      </c>
      <c r="D68" s="41" t="inlineStr">
        <is>
          <t>Sélecteur de langue</t>
        </is>
      </c>
      <c r="E68" s="41" t="inlineStr">
        <is>
          <t>Tous les rôles</t>
        </is>
      </c>
      <c r="F68" s="42" t="inlineStr">
        <is>
          <t>P3</t>
        </is>
      </c>
      <c r="G68" s="41" t="inlineStr">
        <is>
          <t>Être connecté.</t>
        </is>
      </c>
      <c r="H68" s="41" t="inlineStr">
        <is>
          <t>1. Utiliser le bouton de langue de l'en-tête (Français, Fɔngbè…).</t>
        </is>
      </c>
      <c r="I68" s="41" t="inlineStr">
        <is>
          <t>Les textes non validés restent en français ; aucune clé brute ni texte inventé n'apparaît.</t>
        </is>
      </c>
      <c r="J68" s="43" t="inlineStr">
        <is>
          <t>Le bouton de langue de l'en-tête passe Français → Fɔngbè → Baatɔnum → Yorùbá puis revient ; tant que les langues ne sont pas validées, les textes restent en français (h1, menu), aucune clé brute ni texte inventé n'apparaît ; l'attribut lang de la page suit (fon, bba, fr).</t>
        </is>
      </c>
      <c r="K68" s="44" t="inlineStr">
        <is>
          <t>OK</t>
        </is>
      </c>
      <c r="L68" s="44" t="inlineStr">
        <is>
          <t>Claude (essai automatisé)</t>
        </is>
      </c>
      <c r="M68" s="45" t="n">
        <v>46323</v>
      </c>
      <c r="N68" s="44" t="n"/>
      <c r="O68" s="43" t="inlineStr">
        <is>
          <t>Vérifié à l'écran ; la langue a été remise sur Français.</t>
        </is>
      </c>
    </row>
    <row r="69" ht="60" customHeight="1" s="73">
      <c r="A69" s="49" t="inlineStr">
        <is>
          <t>DIA-01</t>
        </is>
      </c>
      <c r="B69" s="50" t="inlineStr">
        <is>
          <t>Intelligence artificielle</t>
        </is>
      </c>
      <c r="C69" s="51" t="inlineStr">
        <is>
          <t>Diagnostic phytosanitaire par image</t>
        </is>
      </c>
      <c r="D69" s="41" t="inlineStr">
        <is>
          <t>/diagnostic</t>
        </is>
      </c>
      <c r="E69" s="41" t="inlineStr">
        <is>
          <t>Producteur</t>
        </is>
      </c>
      <c r="F69" s="42" t="inlineStr">
        <is>
          <t>P1</t>
        </is>
      </c>
      <c r="G69" s="41" t="inlineStr">
        <is>
          <t>Connecté (téléphone 0197000001). Photo JPEG ou PNG de moins de 5 Mo.</t>
        </is>
      </c>
      <c r="H69" s="41" t="inlineStr">
        <is>
          <t>1. Ouvrir « Photo de plante ».
2. Envoyer la photo.</t>
        </is>
      </c>
      <c r="I69" s="41" t="inlineStr">
        <is>
          <t>Un résultat s'affiche : état, maladie probable, recommandations, niveau de risque, étiqueté comme simulé (aucun modèle appris).</t>
        </is>
      </c>
      <c r="J69" s="43" t="inlineStr">
        <is>
          <t>Photo envoyée : état « transmis_agronome », maladie probable « chenille_legionnaire », confiance 0.46, risque eleve, simulation=True.</t>
        </is>
      </c>
      <c r="K69" s="44" t="inlineStr">
        <is>
          <t>OK</t>
        </is>
      </c>
      <c r="L69" s="44" t="inlineStr">
        <is>
          <t>Claude (essai automatisé)</t>
        </is>
      </c>
      <c r="M69" s="45" t="n">
        <v>46323</v>
      </c>
      <c r="N69" s="44" t="n"/>
      <c r="O69" s="43" t="inlineStr">
        <is>
          <t>Vérifié par l'API ; recommandations affichées à l'écran non vues.</t>
        </is>
      </c>
    </row>
    <row r="70" ht="60" customHeight="1" s="73">
      <c r="A70" s="49" t="inlineStr">
        <is>
          <t>DIA-02</t>
        </is>
      </c>
      <c r="B70" s="50" t="inlineStr">
        <is>
          <t>Intelligence artificielle</t>
        </is>
      </c>
      <c r="C70" s="51" t="inlineStr">
        <is>
          <t>Diagnostic phytosanitaire par image</t>
        </is>
      </c>
      <c r="D70" s="41" t="inlineStr">
        <is>
          <t>/diagnostic</t>
        </is>
      </c>
      <c r="E70" s="41" t="inlineStr">
        <is>
          <t>Producteur + Agronome INRAB</t>
        </is>
      </c>
      <c r="F70" s="42" t="inlineStr">
        <is>
          <t>P2</t>
        </is>
      </c>
      <c r="G70" s="41" t="inlineStr">
        <is>
          <t>Photo donnant une confiance inférieure à 0,6.</t>
        </is>
      </c>
      <c r="H70" s="41" t="inlineStr">
        <is>
          <t>1. Producteur : envoyer la photo.
2. Agronome (0197000003) : « Diagnostics à revoir », relire et conclure.</t>
        </is>
      </c>
      <c r="I70" s="41" t="inlineStr">
        <is>
          <t>Le cas part à l'agronome sous 0,6 de confiance. Après relecture, le producteur est notifié.</t>
        </is>
      </c>
      <c r="J70" s="43" t="inlineStr">
        <is>
          <t>Confiance 0.46 &lt; 0,6 : statut « transmis_agronome », cas visible dans la file de l'agronome ; relecture : « revu ».</t>
        </is>
      </c>
      <c r="K70" s="44" t="inlineStr">
        <is>
          <t>OK</t>
        </is>
      </c>
      <c r="L70" s="44" t="inlineStr">
        <is>
          <t>Claude (essai automatisé)</t>
        </is>
      </c>
      <c r="M70" s="45" t="n">
        <v>46323</v>
      </c>
      <c r="N70" s="44" t="n"/>
      <c r="O70" s="43" t="inlineStr">
        <is>
          <t>Vérifié par l'API ; notification du producteur non lue.</t>
        </is>
      </c>
    </row>
    <row r="71" ht="73" customHeight="1" s="73">
      <c r="A71" s="49" t="inlineStr">
        <is>
          <t>DIA-03</t>
        </is>
      </c>
      <c r="B71" s="50" t="inlineStr">
        <is>
          <t>Intelligence artificielle</t>
        </is>
      </c>
      <c r="C71" s="51" t="inlineStr">
        <is>
          <t>Diagnostic phytosanitaire par image</t>
        </is>
      </c>
      <c r="D71" s="41" t="inlineStr">
        <is>
          <t>/diagnostic</t>
        </is>
      </c>
      <c r="E71" s="41" t="inlineStr">
        <is>
          <t>Producteur + Agronome INRAB</t>
        </is>
      </c>
      <c r="F71" s="42" t="inlineStr">
        <is>
          <t>P2</t>
        </is>
      </c>
      <c r="G71" s="41" t="inlineStr">
        <is>
          <t>Résultat automatique affiché.</t>
        </is>
      </c>
      <c r="H71" s="41" t="inlineStr">
        <is>
          <t>1. Cliquer « Pas sûr ? Demander un agronome » et saisir un mot (500 caractères au plus).
2. Agronome : ouvrir « Diagnostics à revoir ».</t>
        </is>
      </c>
      <c r="I71" s="41" t="inlineStr">
        <is>
          <t>La demande et le message arrivent dans « Diagnostics à revoir » ; au-delà de 500 caractères le texte est refusé.</t>
        </is>
      </c>
      <c r="J71" s="43" t="inlineStr">
        <is>
          <t>Photo nette (confiance 0.84, « auto ») ; « Pas sûr ? » avec 501 caractères refusé (400) ; avec un mot : transmis, note visible de l'agronome.</t>
        </is>
      </c>
      <c r="K71" s="44" t="inlineStr">
        <is>
          <t>OK</t>
        </is>
      </c>
      <c r="L71" s="44" t="inlineStr">
        <is>
          <t>Claude (essai automatisé)</t>
        </is>
      </c>
      <c r="M71" s="45" t="n">
        <v>46323</v>
      </c>
      <c r="N71" s="44" t="n"/>
      <c r="O71" s="43" t="inlineStr">
        <is>
          <t>Vérifié par l'API.</t>
        </is>
      </c>
    </row>
    <row r="72" ht="73" customHeight="1" s="73">
      <c r="A72" s="49" t="inlineStr">
        <is>
          <t>DIA-04</t>
        </is>
      </c>
      <c r="B72" s="50" t="inlineStr">
        <is>
          <t>Intelligence artificielle</t>
        </is>
      </c>
      <c r="C72" s="51" t="inlineStr">
        <is>
          <t>Diagnostic phytosanitaire par image</t>
        </is>
      </c>
      <c r="D72" s="41" t="inlineStr">
        <is>
          <t>/diagnostic</t>
        </is>
      </c>
      <c r="E72" s="41" t="inlineStr">
        <is>
          <t>Producteur</t>
        </is>
      </c>
      <c r="F72" s="42" t="inlineStr">
        <is>
          <t>P2</t>
        </is>
      </c>
      <c r="G72" s="41" t="inlineStr">
        <is>
          <t>Connecté (téléphone 0197000001).</t>
        </is>
      </c>
      <c r="H72" s="41" t="inlineStr">
        <is>
          <t>1. Envoyer un fichier PDF, puis une image de plus de 5 Mo.</t>
        </is>
      </c>
      <c r="I72" s="41" t="inlineStr">
        <is>
          <t>Les deux fichiers sont refusés avec un message (seules les images JPEG ou PNG de 5 Mo au plus passent).</t>
        </is>
      </c>
      <c r="J72" s="43" t="inlineStr">
        <is>
          <t>PDF refusé (400 : Image illisible : envoyez une photo JPEG ou PNG.) ; image de plus de 5 Mo refusée (400 : Image trop lourde (5 Mo au maximum).).</t>
        </is>
      </c>
      <c r="K72" s="44" t="inlineStr">
        <is>
          <t>OK</t>
        </is>
      </c>
      <c r="L72" s="44" t="inlineStr">
        <is>
          <t>Claude (essai automatisé)</t>
        </is>
      </c>
      <c r="M72" s="45" t="n">
        <v>46323</v>
      </c>
      <c r="N72" s="44" t="n"/>
      <c r="O72" s="43" t="inlineStr">
        <is>
          <t>Vérifié par l'API.</t>
        </is>
      </c>
    </row>
    <row r="73" ht="73" customHeight="1" s="73">
      <c r="A73" s="49" t="inlineStr">
        <is>
          <t>DIA-05</t>
        </is>
      </c>
      <c r="B73" s="50" t="inlineStr">
        <is>
          <t>Intelligence artificielle</t>
        </is>
      </c>
      <c r="C73" s="51" t="inlineStr">
        <is>
          <t>Diagnostic phytosanitaire par image</t>
        </is>
      </c>
      <c r="D73" s="41" t="inlineStr">
        <is>
          <t>/diagnostic</t>
        </is>
      </c>
      <c r="E73" s="41" t="inlineStr">
        <is>
          <t>Producteur</t>
        </is>
      </c>
      <c r="F73" s="42" t="inlineStr">
        <is>
          <t>P3</t>
        </is>
      </c>
      <c r="G73" s="41" t="inlineStr">
        <is>
          <t>Photo prise avec le GPS activé.</t>
        </is>
      </c>
      <c r="H73" s="41" t="inlineStr">
        <is>
          <t>1. Envoyer la photo puis télécharger l'image conservée.</t>
        </is>
      </c>
      <c r="I73" s="41" t="inlineStr">
        <is>
          <t>Les métadonnées de la photo, dont les coordonnées GPS, ont été supprimées.</t>
        </is>
      </c>
      <c r="J73" s="43" t="inlineStr">
        <is>
          <t>Image envoyée avec un bloc EXIF contenant un champ GPS ; l'image conservée (téléchargée par son propriétaire) ne contient plus aucun bloc EXIF (21169 → 21655 octets).</t>
        </is>
      </c>
      <c r="K73" s="44" t="inlineStr">
        <is>
          <t>OK</t>
        </is>
      </c>
      <c r="L73" s="44" t="inlineStr">
        <is>
          <t>Claude (essai automatisé)</t>
        </is>
      </c>
      <c r="M73" s="45" t="n">
        <v>46323</v>
      </c>
      <c r="N73" s="44" t="n"/>
      <c r="O73" s="43" t="inlineStr">
        <is>
          <t>Vérifié par l'API sur une image fabriquée avec un bloc GPS minimal.</t>
        </is>
      </c>
    </row>
    <row r="74" ht="73" customHeight="1" s="73">
      <c r="A74" s="49" t="inlineStr">
        <is>
          <t>DIA-06</t>
        </is>
      </c>
      <c r="B74" s="50" t="inlineStr">
        <is>
          <t>Intelligence artificielle</t>
        </is>
      </c>
      <c r="C74" s="51" t="inlineStr">
        <is>
          <t>Diagnostic phytosanitaire par image</t>
        </is>
      </c>
      <c r="D74" s="41" t="inlineStr">
        <is>
          <t>/diagnostic</t>
        </is>
      </c>
      <c r="E74" s="41" t="inlineStr">
        <is>
          <t>Producteur</t>
        </is>
      </c>
      <c r="F74" s="42" t="inlineStr">
        <is>
          <t>P3</t>
        </is>
      </c>
      <c r="G74" s="41" t="inlineStr">
        <is>
          <t>Connecté (téléphone 0197000001).</t>
        </is>
      </c>
      <c r="H74" s="41" t="inlineStr">
        <is>
          <t>1. Dans le formulaire, ouvrir « Conseils de cadrage » et utiliser la lecture à voix haute.</t>
        </is>
      </c>
      <c r="I74" s="41" t="inlineStr">
        <is>
          <t>Les conseils de cadrage s'ouvrent et sont lisibles à voix haute.</t>
        </is>
      </c>
      <c r="J74" s="43" t="inlineStr">
        <is>
          <t>Le bouton « Conseils de cadrage » est présent sur « Photo de plante » ; la lecture à voix haute (« Écouter ») dépend de la synthèse vocale du navigateur, non testable ici.</t>
        </is>
      </c>
      <c r="K74" s="44" t="inlineStr">
        <is>
          <t>En cours</t>
        </is>
      </c>
      <c r="L74" s="44" t="inlineStr">
        <is>
          <t>Claude (essai automatisé)</t>
        </is>
      </c>
      <c r="M74" s="45" t="n">
        <v>46323</v>
      </c>
      <c r="N74" s="44" t="n"/>
      <c r="O74" s="43" t="inlineStr">
        <is>
          <t>À faire dans Chrome avec le son.</t>
        </is>
      </c>
    </row>
    <row r="75" ht="73" customHeight="1" s="73">
      <c r="A75" s="49" t="inlineStr">
        <is>
          <t>SCO-01</t>
        </is>
      </c>
      <c r="B75" s="50" t="inlineStr">
        <is>
          <t>Intelligence artificielle</t>
        </is>
      </c>
      <c r="C75" s="51" t="inlineStr">
        <is>
          <t>Scoring crédit et aléas climatiques</t>
        </is>
      </c>
      <c r="D75" s="41" t="inlineStr">
        <is>
          <t>/consentements</t>
        </is>
      </c>
      <c r="E75" s="41" t="inlineStr">
        <is>
          <t>Producteur</t>
        </is>
      </c>
      <c r="F75" s="42" t="inlineStr">
        <is>
          <t>P1</t>
        </is>
      </c>
      <c r="G75" s="41" t="inlineStr">
        <is>
          <t>Connecté (téléphone 0197000001).</t>
        </is>
      </c>
      <c r="H75" s="41" t="inlineStr">
        <is>
          <t>1. Ouvrir « Mes consentements ».
2. Donner le consentement au partage du profil (crédit).
3. Le retirer.</t>
        </is>
      </c>
      <c r="I75" s="41" t="inlineStr">
        <is>
          <t>Le consentement est enregistré, daté et révocable ; retiré, le score n'est plus consultable par l'institution.</t>
        </is>
      </c>
      <c r="J75" s="43" t="inlineStr">
        <is>
          <t>Consentement au partage du profil enregistré (201) puis retiré (200) ; une fois retiré, le score n'est plus consultable par l'institution (404).</t>
        </is>
      </c>
      <c r="K75" s="44" t="inlineStr">
        <is>
          <t>OK</t>
        </is>
      </c>
      <c r="L75" s="44" t="inlineStr">
        <is>
          <t>Claude (essai automatisé)</t>
        </is>
      </c>
      <c r="M75" s="45" t="n">
        <v>46323</v>
      </c>
      <c r="N75" s="44" t="n"/>
      <c r="O75" s="43" t="inlineStr">
        <is>
          <t>Vérifié par l'API ; remis en place ensuite (consentement redonné pour SCO-02).</t>
        </is>
      </c>
    </row>
    <row r="76" ht="138" customHeight="1" s="73">
      <c r="A76" s="49" t="inlineStr">
        <is>
          <t>SCO-02</t>
        </is>
      </c>
      <c r="B76" s="50" t="inlineStr">
        <is>
          <t>Intelligence artificielle</t>
        </is>
      </c>
      <c r="C76" s="51" t="inlineStr">
        <is>
          <t>Scoring crédit et aléas climatiques</t>
        </is>
      </c>
      <c r="D76" s="41" t="inlineStr">
        <is>
          <t>/credit</t>
        </is>
      </c>
      <c r="E76" s="41" t="inlineStr">
        <is>
          <t>Agent financier</t>
        </is>
      </c>
      <c r="F76" s="42" t="inlineStr">
        <is>
          <t>P1</t>
        </is>
      </c>
      <c r="G76" s="41" t="inlineStr">
        <is>
          <t>Connecté (téléphone 0197000007). Producteur ayant consenti (SCO-01).</t>
        </is>
      </c>
      <c r="H76" s="41" t="inlineStr">
        <is>
          <t>1. Ouvrir « Scoring crédit ».
2. Consulter le score d'un producteur consentant puis d'un producteur sans consentement.</t>
        </is>
      </c>
      <c r="I76" s="41" t="inlineStr">
        <is>
          <t>Le score s'affiche avec ses facteurs ; sans consentement le producteur n'est pas consultable. Chaque consultation figure dans le journal d'audit.</t>
        </is>
      </c>
      <c r="J76" s="43" t="inlineStr">
        <is>
          <t>Score d'un producteur consentant : {"score": 79, "factors": [{"name": "Fiche validée et ancienneté", "weight": 0.2, "value": 1.0, "contribution": 20.0}, {"name": "Superficie cultivée", "weight": 0.2, "value": 1.0, "contribution": 20.0}, {"name": "Campagnes suivies jusqu'à la récolte", "weight": ; producteur sans consentement : 404.</t>
        </is>
      </c>
      <c r="K76" s="44" t="inlineStr">
        <is>
          <t>OK</t>
        </is>
      </c>
      <c r="L76" s="44" t="inlineStr">
        <is>
          <t>Claude (essai automatisé)</t>
        </is>
      </c>
      <c r="M76" s="45" t="n">
        <v>46323</v>
      </c>
      <c r="N76" s="44" t="n"/>
      <c r="O76" s="43" t="inlineStr">
        <is>
          <t>Vérifié par l'API ; l'inscription de chaque consultation au journal d'audit est contrôlée en SEC-01.</t>
        </is>
      </c>
    </row>
    <row r="77" ht="125" customHeight="1" s="73">
      <c r="A77" s="49" t="inlineStr">
        <is>
          <t>SCO-03</t>
        </is>
      </c>
      <c r="B77" s="50" t="inlineStr">
        <is>
          <t>Intelligence artificielle</t>
        </is>
      </c>
      <c r="C77" s="51" t="inlineStr">
        <is>
          <t>Scoring crédit et aléas climatiques</t>
        </is>
      </c>
      <c r="D77" s="41" t="inlineStr">
        <is>
          <t>/recouvrement</t>
        </is>
      </c>
      <c r="E77" s="41" t="inlineStr">
        <is>
          <t>Agent financier</t>
        </is>
      </c>
      <c r="F77" s="42" t="inlineStr">
        <is>
          <t>P2</t>
        </is>
      </c>
      <c r="G77" s="41" t="inlineStr">
        <is>
          <t>Connecté (téléphone 0197000007).</t>
        </is>
      </c>
      <c r="H77" s="41" t="inlineStr">
        <is>
          <t>1. « Recouvrement » : ouvrir un prêt à un producteur consentant.
2. Producteur : payer une échéance.
3. Revoir le score.</t>
        </is>
      </c>
      <c r="I77" s="41" t="inlineStr">
        <is>
          <t>Le facteur « Appuis remboursés » du score suit les échéances payées. Le prêt n'est visible que du débiteur et de l'institution.</t>
        </is>
      </c>
      <c r="J77" s="43" t="inlineStr">
        <is>
          <t>Prêt de 90 000 FCFA ouvert par l'agent financier : visible du débiteur et de l'institution, pas de l'agent ATDA ni de l'administrateur ; paiement d'une échéance par le producteur : FakePay « reussi ». Le facteur « Appuis remboursés » reste neutre (0,5, score 79) après le paiement.</t>
        </is>
      </c>
      <c r="K77" s="44" t="inlineStr">
        <is>
          <t>En cours</t>
        </is>
      </c>
      <c r="L77" s="44" t="inlineStr">
        <is>
          <t>Claude (essai automatisé)</t>
        </is>
      </c>
      <c r="M77" s="45" t="n">
        <v>46323</v>
      </c>
      <c r="N77" s="44" t="inlineStr">
        <is>
          <t>ANO-003</t>
        </is>
      </c>
      <c r="O77" s="43" t="inlineStr">
        <is>
          <t>Le facteur ne compte que les échéances échues payées (neutre tant qu'aucune n'est échue) : l'effet attendu ne peut pas se voir avec des échéances à venir. À rejouer avec une échéance échue ; cas du cahier à préciser.</t>
        </is>
      </c>
    </row>
    <row r="78" ht="86" customHeight="1" s="73">
      <c r="A78" s="49" t="inlineStr">
        <is>
          <t>SCO-04</t>
        </is>
      </c>
      <c r="B78" s="50" t="inlineStr">
        <is>
          <t>Intelligence artificielle</t>
        </is>
      </c>
      <c r="C78" s="51" t="inlineStr">
        <is>
          <t>Scoring crédit et aléas climatiques</t>
        </is>
      </c>
      <c r="D78" s="41" t="inlineStr">
        <is>
          <t>/risques-climatiques</t>
        </is>
      </c>
      <c r="E78" s="41" t="inlineStr">
        <is>
          <t>Producteur + Agent ATDA</t>
        </is>
      </c>
      <c r="F78" s="42" t="inlineStr">
        <is>
          <t>P2</t>
        </is>
      </c>
      <c r="G78" s="41" t="inlineStr">
        <is>
          <t>Connecté (téléphone 0197000001).</t>
        </is>
      </c>
      <c r="H78" s="41" t="inlineStr">
        <is>
          <t>1. Producteur : « Risques climatiques ».
2. Agent : même page par département.</t>
        </is>
      </c>
      <c r="I78" s="41" t="inlineStr">
        <is>
          <t>Stress hydrique, sécheresse et inondation sont donnés par parcelle (producteur) ou par département (personnel) avec conseils sans dose ; « Données simulées » sans Internet.</t>
        </is>
      </c>
      <c r="J78" s="43" t="inlineStr">
        <is>
          <t>Producteur : risques par parcelle (stress hydrique, sécheresse, inondation, niveaux élevé/faible, source Open-Meteo, simulated=false) ; agent : mêmes risques par département (Alibori, 9 parcelles).</t>
        </is>
      </c>
      <c r="K78" s="44" t="inlineStr">
        <is>
          <t>OK</t>
        </is>
      </c>
      <c r="L78" s="44" t="inlineStr">
        <is>
          <t>Claude (essai automatisé)</t>
        </is>
      </c>
      <c r="M78" s="45" t="n">
        <v>46323</v>
      </c>
      <c r="N78" s="44" t="n"/>
      <c r="O78" s="43" t="inlineStr">
        <is>
          <t>Vérifié par l'API ; les conseils sans dose affichés à l'écran n'ont pas été lus.</t>
        </is>
      </c>
    </row>
    <row r="79" ht="73" customHeight="1" s="73">
      <c r="A79" s="49" t="inlineStr">
        <is>
          <t>SCO-05</t>
        </is>
      </c>
      <c r="B79" s="50" t="inlineStr">
        <is>
          <t>Intelligence artificielle</t>
        </is>
      </c>
      <c r="C79" s="51" t="inlineStr">
        <is>
          <t>Scoring crédit et aléas climatiques</t>
        </is>
      </c>
      <c r="D79" s="41" t="inlineStr">
        <is>
          <t>/meteo-prix</t>
        </is>
      </c>
      <c r="E79" s="41" t="inlineStr">
        <is>
          <t>Producteur</t>
        </is>
      </c>
      <c r="F79" s="42" t="inlineStr">
        <is>
          <t>P2</t>
        </is>
      </c>
      <c r="G79" s="41" t="inlineStr">
        <is>
          <t>Connecté (téléphone 0197000001). Accès Internet.</t>
        </is>
      </c>
      <c r="H79" s="41" t="inlineStr">
        <is>
          <t>1. Ouvrir l'accueil puis « Météo et prix ».</t>
        </is>
      </c>
      <c r="I79" s="41" t="inlineStr">
        <is>
          <t>Prévision Open-Meteo au point de la parcelle (sinon au centre du département), source et heure affichées ; sans Internet « Prévision simulée ».</t>
        </is>
      </c>
      <c r="J79" s="43" t="inlineStr">
        <is>
          <t>Prévision Open-Meteo sur plusieurs jours (tmax, tmin, pluie), source « Open-Meteo (prévisions ECMWF et Météo-France) » et heure de mise à jour renvoyées, simulated=false.</t>
        </is>
      </c>
      <c r="K79" s="44" t="inlineStr">
        <is>
          <t>OK</t>
        </is>
      </c>
      <c r="L79" s="44" t="inlineStr">
        <is>
          <t>Claude (essai automatisé)</t>
        </is>
      </c>
      <c r="M79" s="45" t="n">
        <v>46323</v>
      </c>
      <c r="N79" s="44" t="n"/>
      <c r="O79" s="43" t="inlineStr">
        <is>
          <t>Vérifié par l'API ; point de la parcelle ou du département et « Prévision simulée » hors ligne non rejoués.</t>
        </is>
      </c>
    </row>
    <row r="80" ht="99" customHeight="1" s="73">
      <c r="A80" s="49" t="inlineStr">
        <is>
          <t>SCO-06</t>
        </is>
      </c>
      <c r="B80" s="50" t="inlineStr">
        <is>
          <t>Intelligence artificielle</t>
        </is>
      </c>
      <c r="C80" s="51" t="inlineStr">
        <is>
          <t>Scoring crédit et aléas climatiques</t>
        </is>
      </c>
      <c r="D80" s="41" t="inlineStr">
        <is>
          <t>/previsions</t>
        </is>
      </c>
      <c r="E80" s="41" t="inlineStr">
        <is>
          <t>Responsable de programme + Administrateur MAEP</t>
        </is>
      </c>
      <c r="F80" s="42" t="inlineStr">
        <is>
          <t>P2</t>
        </is>
      </c>
      <c r="G80" s="41" t="inlineStr">
        <is>
          <t>Connecté (téléphone 0197000004).</t>
        </is>
      </c>
      <c r="H80" s="41" t="inlineStr">
        <is>
          <t>1. Ouvrir « Prévisions ».</t>
        </is>
      </c>
      <c r="I80" s="41" t="inlineStr">
        <is>
          <t>La page s'affiche. Les valeurs sont calculées dans le navigateur (simulation connue, à signaler comme telle).</t>
        </is>
      </c>
      <c r="J80" s="43" t="inlineStr">
        <is>
          <t>« Prévisions de rendement et risques » s'affiche (filière, département, horizon « fin de campagne 2026 ») avec « Calcul simulé : aucun modèle réel n'est branché… ne prenez aucune décision sur ces seuls chiffres ».</t>
        </is>
      </c>
      <c r="K80" s="44" t="inlineStr">
        <is>
          <t>OK</t>
        </is>
      </c>
      <c r="L80" s="44" t="inlineStr">
        <is>
          <t>Claude (essai automatisé)</t>
        </is>
      </c>
      <c r="M80" s="45" t="n">
        <v>46323</v>
      </c>
      <c r="N80" s="44" t="n"/>
      <c r="O80" s="43" t="inlineStr">
        <is>
          <t>Simulation confirmée.</t>
        </is>
      </c>
    </row>
    <row r="81" ht="138" customHeight="1" s="73">
      <c r="A81" s="49" t="inlineStr">
        <is>
          <t>SCO-07</t>
        </is>
      </c>
      <c r="B81" s="50" t="inlineStr">
        <is>
          <t>Intelligence artificielle</t>
        </is>
      </c>
      <c r="C81" s="51" t="inlineStr">
        <is>
          <t>Scoring crédit et aléas climatiques</t>
        </is>
      </c>
      <c r="D81" s="41" t="inlineStr">
        <is>
          <t>/qualite-modeles</t>
        </is>
      </c>
      <c r="E81" s="41" t="inlineStr">
        <is>
          <t>Agronome INRAB + Administrateur MAEP</t>
        </is>
      </c>
      <c r="F81" s="42" t="inlineStr">
        <is>
          <t>P2</t>
        </is>
      </c>
      <c r="G81" s="41" t="inlineStr">
        <is>
          <t>Connecté (téléphone 0197000003).</t>
        </is>
      </c>
      <c r="H81" s="41" t="inlineStr">
        <is>
          <t>1. Ouvrir « Qualité des modèles ».</t>
        </is>
      </c>
      <c r="I81" s="41" t="inlineStr">
        <is>
          <t>Le diagnostic est présenté comme une simulation (bandeau) ; un taux sur moins de 5 cas est « non disponible » ; le score de crédit est « non mesurable : aucune issue de crédit ».</t>
        </is>
      </c>
      <c r="J81" s="43" t="inlineStr">
        <is>
          <t>Qualité des modèles : le diagnostic est marqué simulated=true ; un taux sur 2 cas (&lt; 5) vaut null (« non disponible ») ; crédit : {"id": "credit", "simulated": false, "debtors": 0, "due": 0, "min_due": 30, "measurable": false, "reason": "aucune issue de crédit : aucune échéance échue", "paid_share": null, "bands": []}.</t>
        </is>
      </c>
      <c r="K81" s="44" t="inlineStr">
        <is>
          <t>OK</t>
        </is>
      </c>
      <c r="L81" s="44" t="inlineStr">
        <is>
          <t>Claude (essai automatisé)</t>
        </is>
      </c>
      <c r="M81" s="45" t="n">
        <v>46323</v>
      </c>
      <c r="N81" s="44" t="n"/>
      <c r="O81" s="43" t="inlineStr">
        <is>
          <t>Vérifié par l'API ; bandeau « simulation » non vu à l'écran.</t>
        </is>
      </c>
    </row>
    <row r="82" ht="60" customHeight="1" s="73">
      <c r="A82" s="52" t="inlineStr">
        <is>
          <t>VAL-01</t>
        </is>
      </c>
      <c r="B82" s="53" t="inlineStr">
        <is>
          <t>Marketplace</t>
        </is>
      </c>
      <c r="C82" s="54" t="inlineStr">
        <is>
          <t>Valorisation des produits</t>
        </is>
      </c>
      <c r="D82" s="41" t="inlineStr">
        <is>
          <t>/marche</t>
        </is>
      </c>
      <c r="E82" s="41" t="inlineStr">
        <is>
          <t>Transformateur</t>
        </is>
      </c>
      <c r="F82" s="42" t="inlineStr">
        <is>
          <t>P1</t>
        </is>
      </c>
      <c r="G82" s="41" t="inlineStr">
        <is>
          <t>Connecté (téléphone 0197000009).</t>
        </is>
      </c>
      <c r="H82" s="41" t="inlineStr">
        <is>
          <t>1. Ouvrir « Marché » puis publier une offre.
2. Remarquer les prix du jour rappelés sous le champ prix.</t>
        </is>
      </c>
      <c r="I82" s="41" t="inlineStr">
        <is>
          <t>L'offre est publiée ; les prix du jour de Banikoara et de Parakou (démonstration) sont rappelés. Le champ prix est libellé « Prix de vente proposé » ou « Prix d'achat proposé ».</t>
        </is>
      </c>
      <c r="J82" s="43" t="inlineStr">
        <is>
          <t>Offre « maïs, 1000 kg, 250 FCFA/kg, Parakou » publiée par le transformateur (201), statut ouverte.</t>
        </is>
      </c>
      <c r="K82" s="44" t="inlineStr">
        <is>
          <t>OK</t>
        </is>
      </c>
      <c r="L82" s="44" t="inlineStr">
        <is>
          <t>Claude (essai automatisé)</t>
        </is>
      </c>
      <c r="M82" s="45" t="n">
        <v>46323</v>
      </c>
      <c r="N82" s="44" t="n"/>
      <c r="O82" s="43" t="inlineStr">
        <is>
          <t>Vérifié par l'API ; rappel des prix du jour de Banikoara et Parakou et libellé « Prix de vente proposé » non vus à l'écran.</t>
        </is>
      </c>
    </row>
    <row r="83" ht="73" customHeight="1" s="73">
      <c r="A83" s="52" t="inlineStr">
        <is>
          <t>VAL-02</t>
        </is>
      </c>
      <c r="B83" s="53" t="inlineStr">
        <is>
          <t>Marketplace</t>
        </is>
      </c>
      <c r="C83" s="54" t="inlineStr">
        <is>
          <t>Valorisation des produits</t>
        </is>
      </c>
      <c r="D83" s="41" t="inlineStr">
        <is>
          <t>/marche</t>
        </is>
      </c>
      <c r="E83" s="41" t="inlineStr">
        <is>
          <t>Distributeur + Transformateur</t>
        </is>
      </c>
      <c r="F83" s="42" t="inlineStr">
        <is>
          <t>P1</t>
        </is>
      </c>
      <c r="G83" s="41" t="inlineStr">
        <is>
          <t>Offre publiée (VAL-01).</t>
        </is>
      </c>
      <c r="H83" s="41" t="inlineStr">
        <is>
          <t>1. Distributeur (0197000010) : prendre contact sur l'offre.
2. Vérifier l'affichage du téléphone.
3. Transformateur : accepter la demande.</t>
        </is>
      </c>
      <c r="I83" s="41" t="inlineStr">
        <is>
          <t>Le téléphone reste masqué jusqu'à l'acceptation par le transformateur.</t>
        </is>
      </c>
      <c r="J83" s="43" t="inlineStr">
        <is>
          <t>Contact du distributeur (201) : téléphone masqué (01****0009) ; seul le transformateur peut accepter ; après acceptation les deux numéros sont visibles.</t>
        </is>
      </c>
      <c r="K83" s="44" t="inlineStr">
        <is>
          <t>OK</t>
        </is>
      </c>
      <c r="L83" s="44" t="inlineStr">
        <is>
          <t>Claude (essai automatisé)</t>
        </is>
      </c>
      <c r="M83" s="45" t="n">
        <v>46323</v>
      </c>
      <c r="N83" s="44" t="n"/>
      <c r="O83" s="43" t="inlineStr">
        <is>
          <t>Vérifié par l'API.</t>
        </is>
      </c>
    </row>
    <row r="84" ht="86" customHeight="1" s="73">
      <c r="A84" s="52" t="inlineStr">
        <is>
          <t>VAL-03</t>
        </is>
      </c>
      <c r="B84" s="53" t="inlineStr">
        <is>
          <t>Marketplace</t>
        </is>
      </c>
      <c r="C84" s="54" t="inlineStr">
        <is>
          <t>Valorisation des produits</t>
        </is>
      </c>
      <c r="D84" s="41" t="inlineStr">
        <is>
          <t>/marche</t>
        </is>
      </c>
      <c r="E84" s="41" t="inlineStr">
        <is>
          <t>Distributeur</t>
        </is>
      </c>
      <c r="F84" s="42" t="inlineStr">
        <is>
          <t>P1</t>
        </is>
      </c>
      <c r="G84" s="41" t="inlineStr">
        <is>
          <t>Contact accepté (VAL-02).</t>
        </is>
      </c>
      <c r="H84" s="41" t="inlineStr">
        <is>
          <t>1. Cliquer « Payer » (montant sous le plafond de 500 000 XOF).
2. Observer le statut.
3. Refaire avec un numéro de payeur finissant par 0.</t>
        </is>
      </c>
      <c r="I84" s="41" t="inlineStr">
        <is>
          <t>Bandeau « Simulation FakePay » (aucun argent réel). Le statut passe de « en attente » à « réussi » en 3 secondes environ et un reçu apparaît ; le numéro finissant par 0 échoue.</t>
        </is>
      </c>
      <c r="J84" s="43" t="inlineStr">
        <is>
          <t>Paiement de 250 000 FCFA (FakePay) : « en_attente » puis « reussi » après ~3 s, reçu 250000 FCFA avec numéros masqués ; 500 001 FCFA refusé (plafond) ; payeur finissant par 0 : « echoue ».</t>
        </is>
      </c>
      <c r="K84" s="44" t="inlineStr">
        <is>
          <t>OK</t>
        </is>
      </c>
      <c r="L84" s="44" t="inlineStr">
        <is>
          <t>Claude (essai automatisé)</t>
        </is>
      </c>
      <c r="M84" s="45" t="n">
        <v>46323</v>
      </c>
      <c r="N84" s="44" t="n"/>
      <c r="O84" s="43" t="inlineStr">
        <is>
          <t>Vérifié par l'API ; bandeau « Simulation FakePay » non vu à l'écran.</t>
        </is>
      </c>
    </row>
    <row r="85" ht="73" customHeight="1" s="73">
      <c r="A85" s="52" t="inlineStr">
        <is>
          <t>VAL-04</t>
        </is>
      </c>
      <c r="B85" s="53" t="inlineStr">
        <is>
          <t>Marketplace</t>
        </is>
      </c>
      <c r="C85" s="54" t="inlineStr">
        <is>
          <t>Valorisation des produits</t>
        </is>
      </c>
      <c r="D85" s="41" t="inlineStr">
        <is>
          <t>/marche</t>
        </is>
      </c>
      <c r="E85" s="41" t="inlineStr">
        <is>
          <t>Transformateur</t>
        </is>
      </c>
      <c r="F85" s="42" t="inlineStr">
        <is>
          <t>P2</t>
        </is>
      </c>
      <c r="G85" s="41" t="inlineStr">
        <is>
          <t>Annonce publiée par l'utilisateur.</t>
        </is>
      </c>
      <c r="H85" s="41" t="inlineStr">
        <is>
          <t>1. « Suspendre » l'annonce, puis « Reprendre ».
2. « Marquer vendue », puis publier une autre annonce et la « Retirer ».</t>
        </is>
      </c>
      <c r="I85" s="41" t="inlineStr">
        <is>
          <t>Suspendue : masquée aux acheteurs, reprise possible. Retirée : définitif ; les demandes en attente sont refusées et leurs auteurs prévenus.</t>
        </is>
      </c>
      <c r="J85" s="43" t="inlineStr">
        <is>
          <t>Suspendue : masquée des acheteurs ; reprise : « ouverte » ; retirée : définitif (réouverture refusée 400), demande en attente passée à « refusee ».</t>
        </is>
      </c>
      <c r="K85" s="44" t="inlineStr">
        <is>
          <t>OK</t>
        </is>
      </c>
      <c r="L85" s="44" t="inlineStr">
        <is>
          <t>Claude (essai automatisé)</t>
        </is>
      </c>
      <c r="M85" s="45" t="n">
        <v>46323</v>
      </c>
      <c r="N85" s="44" t="n"/>
      <c r="O85" s="43" t="inlineStr">
        <is>
          <t>Vérifié par l'API ; la notification à l'auteur de la demande n'a pas été lue ; « Marquer vendue » (statut conclue) rejoué indirectement par le paiement.</t>
        </is>
      </c>
    </row>
    <row r="86" ht="138" customHeight="1" s="73">
      <c r="A86" s="52" t="inlineStr">
        <is>
          <t>VAL-05</t>
        </is>
      </c>
      <c r="B86" s="53" t="inlineStr">
        <is>
          <t>Marketplace</t>
        </is>
      </c>
      <c r="C86" s="54" t="inlineStr">
        <is>
          <t>Valorisation des produits</t>
        </is>
      </c>
      <c r="D86" s="41" t="inlineStr">
        <is>
          <t>/prix</t>
        </is>
      </c>
      <c r="E86" s="41" t="inlineStr">
        <is>
          <t>Agent ATDA</t>
        </is>
      </c>
      <c r="F86" s="42" t="inlineStr">
        <is>
          <t>P2</t>
        </is>
      </c>
      <c r="G86" s="41" t="inlineStr">
        <is>
          <t>Connecté (téléphone 0197000002).</t>
        </is>
      </c>
      <c r="H86" s="41" t="inlineStr">
        <is>
          <t>1. « Relevés de prix », « Saisir un relevé » : maïs, brut, « maïs grain », Banikoara, 190 FCFA/kg.
2. Saisir un 2e relevé « farine de maïs » en transformé.
3. Saisir 25 000 FCFA/kg.</t>
        </is>
      </c>
      <c r="I86" s="41" t="inlineStr">
        <is>
          <t>Le prix du producteur, l'USSD (*000#, 2, 1) et le rappel « prix du jour » passent en « relevé du … ». Un prix de 25 000 est refusé.</t>
        </is>
      </c>
      <c r="J86" s="43" t="inlineStr">
        <is>
          <t>Relevés maïs brut 190 FCFA/kg (Banikoara) enregistré et farine de maïs 300 FCFA/kg (201) ; 25 000 FCFA/kg refusé (400) ; le producteur lit des prix réels (simulated=False) ; USSD *000# 2*1 : « END PRIX MAIS (F/kg)
Banikoara 190
Kandi 186
(releves du 28/10) ».</t>
        </is>
      </c>
      <c r="K86" s="44" t="inlineStr">
        <is>
          <t>OK</t>
        </is>
      </c>
      <c r="L86" s="44" t="inlineStr">
        <is>
          <t>Claude (essai automatisé)</t>
        </is>
      </c>
      <c r="M86" s="45" t="n">
        <v>46323</v>
      </c>
      <c r="N86" s="44" t="n"/>
      <c r="O86" s="43" t="inlineStr">
        <is>
          <t>Vérifié par l'API ; USSD testé via la passerelle de démonstration.</t>
        </is>
      </c>
    </row>
    <row r="87" ht="112" customHeight="1" s="73">
      <c r="A87" s="52" t="inlineStr">
        <is>
          <t>VAL-06</t>
        </is>
      </c>
      <c r="B87" s="53" t="inlineStr">
        <is>
          <t>Marketplace</t>
        </is>
      </c>
      <c r="C87" s="54" t="inlineStr">
        <is>
          <t>Valorisation des produits</t>
        </is>
      </c>
      <c r="D87" s="41" t="inlineStr">
        <is>
          <t>/prix</t>
        </is>
      </c>
      <c r="E87" s="41" t="inlineStr">
        <is>
          <t>Transformateur</t>
        </is>
      </c>
      <c r="F87" s="42" t="inlineStr">
        <is>
          <t>P2</t>
        </is>
      </c>
      <c r="G87" s="41" t="inlineStr">
        <is>
          <t>Relevés brut et transformé saisis (VAL-05).</t>
        </is>
      </c>
      <c r="H87" s="41" t="inlineStr">
        <is>
          <t>1. Ouvrir « Relevés de prix » côté transformateur.</t>
        </is>
      </c>
      <c r="I87" s="41" t="inlineStr">
        <is>
          <t>L'écart brut / transformé est affiché (écart de prix, pas une marge de transformation).</t>
        </is>
      </c>
      <c r="J87" s="43" t="inlineStr">
        <is>
          <t>Écart brut/transformé affiché au transformateur : {'value_chain': 'mais', 'department': 'alibori', 'product': 'farine de maïs', 'raw_xof': 188, 'transformed_xof': 300, 'gap_xof': 112, 'gap_pct': 60, 'raw_markets': 2, 'transformed_markets': 1, 'observed_on': '2026-10-28'}.</t>
        </is>
      </c>
      <c r="K87" s="44" t="inlineStr">
        <is>
          <t>OK</t>
        </is>
      </c>
      <c r="L87" s="44" t="inlineStr">
        <is>
          <t>Claude (essai automatisé)</t>
        </is>
      </c>
      <c r="M87" s="45" t="n">
        <v>46323</v>
      </c>
      <c r="N87" s="44" t="n"/>
      <c r="O87" s="43" t="inlineStr">
        <is>
          <t>Vérifié par l'API ; c'est un écart de prix (champs raw_xof, transformed_xof, gap_xof), pas une marge.</t>
        </is>
      </c>
    </row>
    <row r="88" ht="151" customHeight="1" s="73">
      <c r="A88" s="52" t="inlineStr">
        <is>
          <t>VAL-07</t>
        </is>
      </c>
      <c r="B88" s="53" t="inlineStr">
        <is>
          <t>Marketplace</t>
        </is>
      </c>
      <c r="C88" s="54" t="inlineStr">
        <is>
          <t>Valorisation des produits</t>
        </is>
      </c>
      <c r="D88" s="41" t="inlineStr">
        <is>
          <t>/analyses-marches</t>
        </is>
      </c>
      <c r="E88" s="41" t="inlineStr">
        <is>
          <t>Transformateur + Distributeur</t>
        </is>
      </c>
      <c r="F88" s="42" t="inlineStr">
        <is>
          <t>P2</t>
        </is>
      </c>
      <c r="G88" s="41" t="inlineStr">
        <is>
          <t>Moins de 6 relevés sur 14 jours.</t>
        </is>
      </c>
      <c r="H88" s="41" t="inlineStr">
        <is>
          <t>1. Ouvrir « Analyses des marchés ».</t>
        </is>
      </c>
      <c r="I88" s="41" t="inlineStr">
        <is>
          <t>« Pas de projection » est affiché sous 6 relevés ; l'offre attendue est masquée sous 5 producteurs.</t>
        </is>
      </c>
      <c r="J88" s="43" t="inlineStr">
        <is>
          <t>Analyse des marchés : avec 2 relevés de riz, « Pas de projection » (texte : « c'est trop peu pour dégager une tendance ou projeter les prix (il faut au moins 6 relevés répartis sur 14 jours) ») ; l'offre attendue est masquée (masked=true, producers=null) sous 5 producteurs ; pour le maïs (15 relevés) une projection à 28 jours est donnée avec fiabilité « moyenne ».</t>
        </is>
      </c>
      <c r="K88" s="44" t="inlineStr">
        <is>
          <t>OK</t>
        </is>
      </c>
      <c r="L88" s="44" t="inlineStr">
        <is>
          <t>Claude (essai automatisé)</t>
        </is>
      </c>
      <c r="M88" s="45" t="n">
        <v>46323</v>
      </c>
      <c r="N88" s="44" t="n"/>
      <c r="O88" s="43" t="inlineStr">
        <is>
          <t>Vérifié par l'API ; 2 relevés de riz de recette ajoutés.</t>
        </is>
      </c>
    </row>
    <row r="89" ht="86" customHeight="1" s="73">
      <c r="A89" s="52" t="inlineStr">
        <is>
          <t>VAL-08</t>
        </is>
      </c>
      <c r="B89" s="53" t="inlineStr">
        <is>
          <t>Marketplace</t>
        </is>
      </c>
      <c r="C89" s="54" t="inlineStr">
        <is>
          <t>Valorisation des produits</t>
        </is>
      </c>
      <c r="D89" s="41" t="inlineStr">
        <is>
          <t>/vitrine</t>
        </is>
      </c>
      <c r="E89" s="41" t="inlineStr">
        <is>
          <t>Transformateur</t>
        </is>
      </c>
      <c r="F89" s="42" t="inlineStr">
        <is>
          <t>P2</t>
        </is>
      </c>
      <c r="G89" s="41" t="inlineStr">
        <is>
          <t>Connecté (téléphone 0197000009).</t>
        </is>
      </c>
      <c r="H89" s="41" t="inlineStr">
        <is>
          <t>1. « Vitrine des produits », « Publier un produit ».
2. Se connecter avec un autre rôle et lire la vitrine.
3. Retirer le produit.</t>
        </is>
      </c>
      <c r="I89" s="41" t="inlineStr">
        <is>
          <t>Tout acteur connecté lit la vitrine ; l'auteur peut retirer le produit. Le contact est celui de l'entreprise.</t>
        </is>
      </c>
      <c r="J89" s="43" t="inlineStr">
        <is>
          <t>Produit publié par le transformateur (201), lu par un producteur connecté ; retrait par l'auteur (200) : il disparaît de la vitrine ; contact = celui de l'entreprise (« contact@maisdor.example »).</t>
        </is>
      </c>
      <c r="K89" s="44" t="inlineStr">
        <is>
          <t>OK</t>
        </is>
      </c>
      <c r="L89" s="44" t="inlineStr">
        <is>
          <t>Claude (essai automatisé)</t>
        </is>
      </c>
      <c r="M89" s="45" t="n">
        <v>46323</v>
      </c>
      <c r="N89" s="44" t="n"/>
      <c r="O89" s="43" t="inlineStr">
        <is>
          <t>Vérifié par l'API.</t>
        </is>
      </c>
    </row>
    <row r="90" ht="112" customHeight="1" s="73">
      <c r="A90" s="52" t="inlineStr">
        <is>
          <t>VAL-09</t>
        </is>
      </c>
      <c r="B90" s="53" t="inlineStr">
        <is>
          <t>Marketplace</t>
        </is>
      </c>
      <c r="C90" s="54" t="inlineStr">
        <is>
          <t>Valorisation des produits</t>
        </is>
      </c>
      <c r="D90" s="41" t="inlineStr">
        <is>
          <t>/offres</t>
        </is>
      </c>
      <c r="E90" s="41" t="inlineStr">
        <is>
          <t>Distributeur + Transformateur</t>
        </is>
      </c>
      <c r="F90" s="42" t="inlineStr">
        <is>
          <t>P3</t>
        </is>
      </c>
      <c r="G90" s="41" t="inlineStr">
        <is>
          <t>Connecté (téléphone 0197000010).</t>
        </is>
      </c>
      <c r="H90" s="41" t="inlineStr">
        <is>
          <t>1. Ouvrir « Offres ».</t>
        </is>
      </c>
      <c r="I90" s="41" t="inlineStr">
        <is>
          <t>La page s'affiche. Elle contient des données de démonstration écrites dans le code (écart connu).</t>
        </is>
      </c>
      <c r="J90" s="43" t="inlineStr">
        <is>
          <t>« Stocks, ruptures et prix » (menu « Offres et stocks », distributeur) s'affiche avec « Données de démonstration — Stocks saisis à la main ; ventes journalières et prix simulés. Rien n'est enregistré sur le serveur. » (ex. maïs grain, Bohicon : 6 jours).</t>
        </is>
      </c>
      <c r="K90" s="44" t="inlineStr">
        <is>
          <t>OK</t>
        </is>
      </c>
      <c r="L90" s="44" t="inlineStr">
        <is>
          <t>Claude (essai automatisé)</t>
        </is>
      </c>
      <c r="M90" s="45" t="n">
        <v>46323</v>
      </c>
      <c r="N90" s="44" t="n"/>
      <c r="O90" s="43" t="inlineStr">
        <is>
          <t>Écart connu confirmé.</t>
        </is>
      </c>
    </row>
    <row r="91" ht="86" customHeight="1" s="73">
      <c r="A91" s="52" t="inlineStr">
        <is>
          <t>VAL-10</t>
        </is>
      </c>
      <c r="B91" s="53" t="inlineStr">
        <is>
          <t>Marketplace</t>
        </is>
      </c>
      <c r="C91" s="54" t="inlineStr">
        <is>
          <t>Valorisation des produits</t>
        </is>
      </c>
      <c r="D91" s="41" t="inlineStr">
        <is>
          <t>/meteo-prix</t>
        </is>
      </c>
      <c r="E91" s="41" t="inlineStr">
        <is>
          <t>Producteur</t>
        </is>
      </c>
      <c r="F91" s="42" t="inlineStr">
        <is>
          <t>P3</t>
        </is>
      </c>
      <c r="G91" s="41" t="inlineStr">
        <is>
          <t>Aucun relevé de prix réel saisi.</t>
        </is>
      </c>
      <c r="H91" s="41" t="inlineStr">
        <is>
          <t>1. Ouvrir « Météo et prix ».</t>
        </is>
      </c>
      <c r="I91" s="41" t="inlineStr">
        <is>
          <t>Les prix portent l'étiquette « Démonstration » tant qu'aucun relevé n'existe.</t>
        </is>
      </c>
      <c r="J91" s="43" t="inlineStr">
        <is>
          <t>Des relevés de prix réels existent déjà en base (relevés du 21/10 et d'aujourd'hui) : les prix ne portent donc plus l'étiquette « Démonstration » pour le maïs.</t>
        </is>
      </c>
      <c r="K91" s="44" t="inlineStr">
        <is>
          <t>Bloqué</t>
        </is>
      </c>
      <c r="L91" s="44" t="inlineStr">
        <is>
          <t>Claude (essai automatisé)</t>
        </is>
      </c>
      <c r="M91" s="45" t="n">
        <v>46323</v>
      </c>
      <c r="N91" s="44" t="n"/>
      <c r="O91" s="43" t="inlineStr">
        <is>
          <t>Précondition impossible sans réinitialiser les données ; pour une filière sans relevé (ex. coton) l'API renvoie bien « Démonstration : aucun relevé récent » (non vérifié à l'écran).</t>
        </is>
      </c>
    </row>
    <row r="92" ht="99" customHeight="1" s="73">
      <c r="A92" s="52" t="inlineStr">
        <is>
          <t>VAL-11</t>
        </is>
      </c>
      <c r="B92" s="53" t="inlineStr">
        <is>
          <t>Marketplace</t>
        </is>
      </c>
      <c r="C92" s="54" t="inlineStr">
        <is>
          <t>Valorisation des produits</t>
        </is>
      </c>
      <c r="D92" s="41" t="inlineStr">
        <is>
          <t>/marche</t>
        </is>
      </c>
      <c r="E92" s="41" t="inlineStr">
        <is>
          <t>Distributeur</t>
        </is>
      </c>
      <c r="F92" s="42" t="inlineStr">
        <is>
          <t>P3</t>
        </is>
      </c>
      <c r="G92" s="41" t="inlineStr">
        <is>
          <t>Paiement réussi (VAL-03).</t>
        </is>
      </c>
      <c r="H92" s="41" t="inlineStr">
        <is>
          <t>1. Ouvrir le reçu, utiliser « Écouter » et « Partager ».</t>
        </is>
      </c>
      <c r="I92" s="41" t="inlineStr">
        <is>
          <t>Le reçu de paiement se lit à voix haute et se partage.</t>
        </is>
      </c>
      <c r="J92" s="43" t="inlineStr">
        <is>
          <t>Le paiement du cas VAL-03 a produit un reçu (référence AGD-…, montant 250 000 FCFA, numéros masqués) côté API ; les boutons « Écouter » et « Partager » du reçu n'ont pas été retrouvés dans l'écran « Mes mises en relation » du distributeur.</t>
        </is>
      </c>
      <c r="K92" s="44" t="inlineStr">
        <is>
          <t>En cours</t>
        </is>
      </c>
      <c r="L92" s="44" t="inlineStr">
        <is>
          <t>Claude (essai automatisé)</t>
        </is>
      </c>
      <c r="M92" s="45" t="n">
        <v>46323</v>
      </c>
      <c r="N92" s="44" t="n"/>
      <c r="O92" s="43" t="inlineStr">
        <is>
          <t>À regarder à la main dans « Marché », « Paiement » ; lecture vocale et partage non testables ici.</t>
        </is>
      </c>
    </row>
    <row r="93" ht="86" customHeight="1" s="73">
      <c r="A93" s="52" t="inlineStr">
        <is>
          <t>SRV-01</t>
        </is>
      </c>
      <c r="B93" s="53" t="inlineStr">
        <is>
          <t>Marketplace</t>
        </is>
      </c>
      <c r="C93" s="54" t="inlineStr">
        <is>
          <t>Services partenaires (fintech)</t>
        </is>
      </c>
      <c r="D93" s="41" t="inlineStr">
        <is>
          <t>/services</t>
        </is>
      </c>
      <c r="E93" s="41" t="inlineStr">
        <is>
          <t>Producteur</t>
        </is>
      </c>
      <c r="F93" s="42" t="inlineStr">
        <is>
          <t>P2</t>
        </is>
      </c>
      <c r="G93" s="41" t="inlineStr">
        <is>
          <t>Connecté (téléphone 0197000001).</t>
        </is>
      </c>
      <c r="H93" s="41" t="inlineStr">
        <is>
          <t>1. Ouvrir « Services et innovations ».</t>
        </is>
      </c>
      <c r="I93" s="41" t="inlineStr">
        <is>
          <t>Offres de partenaires (e-banking, assurance, publicité), innovations et financements de la zone du producteur sont listés par département et filière.</t>
        </is>
      </c>
      <c r="J93" s="43" t="inlineStr">
        <is>
          <t>Producteur : 4 publications de sa zone (types financement, innovation, service : assurance récolte, compte Mobile Money, sac à triple fond, ligne de crédit maïs), toutes sur le terrain « [démo] ».</t>
        </is>
      </c>
      <c r="K93" s="44" t="inlineStr">
        <is>
          <t>OK</t>
        </is>
      </c>
      <c r="L93" s="44" t="inlineStr">
        <is>
          <t>Claude (essai automatisé)</t>
        </is>
      </c>
      <c r="M93" s="45" t="n">
        <v>46323</v>
      </c>
      <c r="N93" s="44" t="n"/>
      <c r="O93" s="43" t="inlineStr">
        <is>
          <t>Vérifié par l'API.</t>
        </is>
      </c>
    </row>
    <row r="94" ht="47" customHeight="1" s="73">
      <c r="A94" s="52" t="inlineStr">
        <is>
          <t>SRV-02</t>
        </is>
      </c>
      <c r="B94" s="53" t="inlineStr">
        <is>
          <t>Marketplace</t>
        </is>
      </c>
      <c r="C94" s="54" t="inlineStr">
        <is>
          <t>Services partenaires (fintech)</t>
        </is>
      </c>
      <c r="D94" s="41" t="inlineStr">
        <is>
          <t>/services</t>
        </is>
      </c>
      <c r="E94" s="41" t="inlineStr">
        <is>
          <t>Administrateur MAEP</t>
        </is>
      </c>
      <c r="F94" s="42" t="inlineStr">
        <is>
          <t>P2</t>
        </is>
      </c>
      <c r="G94" s="41" t="inlineStr">
        <is>
          <t>Connecté (téléphone 0197000005).</t>
        </is>
      </c>
      <c r="H94" s="41" t="inlineStr">
        <is>
          <t>1. Ouvrir « Services et innovations ».</t>
        </is>
      </c>
      <c r="I94" s="41" t="inlineStr">
        <is>
          <t>Le total des financements mobilisés et des appuis remis est affiché.</t>
        </is>
      </c>
      <c r="J94" s="43" t="inlineStr">
        <is>
          <t>Administrateur : financements publiés 250 000 000 FCFA (maïs) et appuis remis 172 000 FCFA.</t>
        </is>
      </c>
      <c r="K94" s="44" t="inlineStr">
        <is>
          <t>OK</t>
        </is>
      </c>
      <c r="L94" s="44" t="inlineStr">
        <is>
          <t>Claude (essai automatisé)</t>
        </is>
      </c>
      <c r="M94" s="45" t="n">
        <v>46323</v>
      </c>
      <c r="N94" s="44" t="n"/>
      <c r="O94" s="43" t="inlineStr">
        <is>
          <t>Vérifié par l'API.</t>
        </is>
      </c>
    </row>
    <row r="95" ht="73" customHeight="1" s="73">
      <c r="A95" s="52" t="inlineStr">
        <is>
          <t>SRV-03</t>
        </is>
      </c>
      <c r="B95" s="53" t="inlineStr">
        <is>
          <t>Marketplace</t>
        </is>
      </c>
      <c r="C95" s="54" t="inlineStr">
        <is>
          <t>Services partenaires (fintech)</t>
        </is>
      </c>
      <c r="D95" s="41" t="inlineStr">
        <is>
          <t>/services</t>
        </is>
      </c>
      <c r="E95" s="41" t="inlineStr">
        <is>
          <t>Agent financier</t>
        </is>
      </c>
      <c r="F95" s="42" t="inlineStr">
        <is>
          <t>P3</t>
        </is>
      </c>
      <c r="G95" s="41" t="inlineStr">
        <is>
          <t>Connecté (téléphone 0197000007).</t>
        </is>
      </c>
      <c r="H95" s="41" t="inlineStr">
        <is>
          <t>1. Publier une offre de service (ex. crédit ou assurance).
2. Se connecter en producteur du département concerné.</t>
        </is>
      </c>
      <c r="I95" s="41" t="inlineStr">
        <is>
          <t>L'offre est visible des producteurs du département et de la filière visés.</t>
        </is>
      </c>
      <c r="J95" s="43" t="inlineStr">
        <is>
          <t>Agent financier : offre « Assurance récolte [recette] » publiée (201) pour l'Alibori et le maïs ; elle apparaît dans la liste du producteur de l'Alibori.</t>
        </is>
      </c>
      <c r="K95" s="44" t="inlineStr">
        <is>
          <t>OK</t>
        </is>
      </c>
      <c r="L95" s="44" t="inlineStr">
        <is>
          <t>Claude (essai automatisé)</t>
        </is>
      </c>
      <c r="M95" s="45" t="n">
        <v>46323</v>
      </c>
      <c r="N95" s="44" t="n"/>
      <c r="O95" s="43" t="inlineStr">
        <is>
          <t>Vérifié par l'API ; offre de recette laissée en base.</t>
        </is>
      </c>
    </row>
    <row r="96" ht="73" customHeight="1" s="73">
      <c r="A96" s="52" t="inlineStr">
        <is>
          <t>SRV-04</t>
        </is>
      </c>
      <c r="B96" s="53" t="inlineStr">
        <is>
          <t>Marketplace</t>
        </is>
      </c>
      <c r="C96" s="54" t="inlineStr">
        <is>
          <t>Services partenaires (fintech)</t>
        </is>
      </c>
      <c r="D96" s="41" t="inlineStr">
        <is>
          <t>/remboursements</t>
        </is>
      </c>
      <c r="E96" s="41" t="inlineStr">
        <is>
          <t>Producteur</t>
        </is>
      </c>
      <c r="F96" s="42" t="inlineStr">
        <is>
          <t>P2</t>
        </is>
      </c>
      <c r="G96" s="41" t="inlineStr">
        <is>
          <t>Échéance en cours (GOU-03).</t>
        </is>
      </c>
      <c r="H96" s="41" t="inlineStr">
        <is>
          <t>1. Cliquer « Payer … FCFA » sur la prochaine échéance.</t>
        </is>
      </c>
      <c r="I96" s="41" t="inlineStr">
        <is>
          <t>Paiement en un clic simulé par FakePay (référence AGR-…), imputé sur l'échéance la plus ancienne ; un seul paiement en attente par créance.</t>
        </is>
      </c>
      <c r="J96" s="43" t="inlineStr">
        <is>
          <t>Paiement en un clic (réf. AGR-FCBB78A894) imputé à l'échéance la plus ancienne non payée ; un 2e paiement lancé pendant que le 1er est en attente est refusé (409).</t>
        </is>
      </c>
      <c r="K96" s="44" t="inlineStr">
        <is>
          <t>OK</t>
        </is>
      </c>
      <c r="L96" s="44" t="inlineStr">
        <is>
          <t>Claude (essai automatisé)</t>
        </is>
      </c>
      <c r="M96" s="45" t="n">
        <v>46323</v>
      </c>
      <c r="N96" s="44" t="n"/>
      <c r="O96" s="43" t="inlineStr">
        <is>
          <t>Vérifié par l'API.</t>
        </is>
      </c>
    </row>
    <row r="97" ht="73" customHeight="1" s="73">
      <c r="A97" s="55" t="inlineStr">
        <is>
          <t>AUT-01</t>
        </is>
      </c>
      <c r="B97" s="56" t="inlineStr">
        <is>
          <t>Transverse</t>
        </is>
      </c>
      <c r="C97" s="57" t="inlineStr">
        <is>
          <t>Connexion et comptes</t>
        </is>
      </c>
      <c r="D97" s="41" t="inlineStr">
        <is>
          <t>/connexion</t>
        </is>
      </c>
      <c r="E97" s="41" t="inlineStr">
        <is>
          <t>Producteur</t>
        </is>
      </c>
      <c r="F97" s="42" t="inlineStr">
        <is>
          <t>P1</t>
        </is>
      </c>
      <c r="G97" s="41" t="inlineStr">
        <is>
          <t>Application lancée (start.bat), données de démonstration chargées.</t>
        </is>
      </c>
      <c r="H97" s="41" t="inlineStr">
        <is>
          <t>1. Ouvrir /connexion.
2. Saisir le téléphone 0197000001 et demander le code.
3. Lire le code à 6 chiffres dans le bandeau « Simulation ».
4. Saisir le code puis cliquer « Se connecter ».</t>
        </is>
      </c>
      <c r="I97" s="41" t="inlineStr">
        <is>
          <t>Connexion sans mot de passe. L'accueil « Bonjour Bio » s'affiche avec la sidebar du producteur et le bandeau « Prototype · données de démonstration ».</t>
        </is>
      </c>
      <c r="J97" s="43" t="inlineStr">
        <is>
          <t>Connexion producteur 0197000001 par code lu dans le bandeau : « Bonjour Bio », sidebar producteur, bandeau « Prototype · données de démonstration ».</t>
        </is>
      </c>
      <c r="K97" s="44" t="inlineStr">
        <is>
          <t>OK</t>
        </is>
      </c>
      <c r="L97" s="44" t="inlineStr">
        <is>
          <t>Claude (essai automatisé)</t>
        </is>
      </c>
      <c r="M97" s="45" t="n">
        <v>46323</v>
      </c>
      <c r="N97" s="44" t="n"/>
      <c r="O97" s="43" t="n"/>
    </row>
    <row r="98" ht="73" customHeight="1" s="73">
      <c r="A98" s="55" t="inlineStr">
        <is>
          <t>AUT-02</t>
        </is>
      </c>
      <c r="B98" s="56" t="inlineStr">
        <is>
          <t>Transverse</t>
        </is>
      </c>
      <c r="C98" s="57" t="inlineStr">
        <is>
          <t>Connexion et comptes</t>
        </is>
      </c>
      <c r="D98" s="41" t="inlineStr">
        <is>
          <t>/connexion</t>
        </is>
      </c>
      <c r="E98" s="41" t="inlineStr">
        <is>
          <t>Agent ATDA</t>
        </is>
      </c>
      <c r="F98" s="42" t="inlineStr">
        <is>
          <t>P1</t>
        </is>
      </c>
      <c r="G98" s="41" t="inlineStr">
        <is>
          <t>Application lancée (start.bat), données de démonstration chargées.</t>
        </is>
      </c>
      <c r="H98" s="41" t="inlineStr">
        <is>
          <t>1. Saisir le téléphone 0197000002 et demander le code.
2. Saisir le code lu dans le bandeau « Simulation ».
3. Saisir le mot de passe AgriDemo-2026!.
4. Cliquer « Se connecter ».</t>
        </is>
      </c>
      <c r="I98" s="41" t="inlineStr">
        <is>
          <t>Connexion réussie : les agents et administrateurs saisissent le code ET le mot de passe. L'accueil de l'agent ATDA s'affiche.</t>
        </is>
      </c>
      <c r="J98" s="43" t="inlineStr">
        <is>
          <t>Agent ATDA 0197000002 : code + mot de passe, accueil « File de travail du jour ». Les 10 autres comptes de service se connectent de la même façon.</t>
        </is>
      </c>
      <c r="K98" s="44" t="inlineStr">
        <is>
          <t>OK</t>
        </is>
      </c>
      <c r="L98" s="44" t="inlineStr">
        <is>
          <t>Claude (essai automatisé)</t>
        </is>
      </c>
      <c r="M98" s="45" t="n">
        <v>46323</v>
      </c>
      <c r="N98" s="44" t="n"/>
      <c r="O98" s="43" t="n"/>
    </row>
    <row r="99" ht="99" customHeight="1" s="73">
      <c r="A99" s="55" t="inlineStr">
        <is>
          <t>AUT-03</t>
        </is>
      </c>
      <c r="B99" s="56" t="inlineStr">
        <is>
          <t>Transverse</t>
        </is>
      </c>
      <c r="C99" s="57" t="inlineStr">
        <is>
          <t>Connexion et comptes</t>
        </is>
      </c>
      <c r="D99" s="41" t="inlineStr">
        <is>
          <t>/connexion</t>
        </is>
      </c>
      <c r="E99" s="41" t="inlineStr">
        <is>
          <t>Tous les rôles</t>
        </is>
      </c>
      <c r="F99" s="42" t="inlineStr">
        <is>
          <t>P2</t>
        </is>
      </c>
      <c r="G99" s="41" t="inlineStr">
        <is>
          <t>Application lancée (start.bat), données de démonstration chargées.</t>
        </is>
      </c>
      <c r="H99" s="41" t="inlineStr">
        <is>
          <t>1. Sur /connexion, descendre au bouton « Démo ».
2. Choisir un rôle dans la liste puis cliquer « Démo ».
3. Cliquer « Se connecter ».</t>
        </is>
      </c>
      <c r="I99" s="41" t="inlineStr">
        <is>
          <t>Le bouton remplit le téléphone, demande le code et le recopie (avec le mot de passe pour les rôles qui en ont un). Il reste seulement à cliquer « Se connecter ».</t>
        </is>
      </c>
      <c r="J99" s="43" t="inlineStr">
        <is>
          <t>Bouton « Démo » : remplit le compte Bio GOUNOU et le code (onglet Producteur) ; onglet « Agent ou partenaire » : liste de 10 rôles, Agronome choisi, téléphone, code et mot de passe remplis, « Se connecter » ouvre /fiches.</t>
        </is>
      </c>
      <c r="K99" s="44" t="inlineStr">
        <is>
          <t>OK</t>
        </is>
      </c>
      <c r="L99" s="44" t="inlineStr">
        <is>
          <t>Claude (essai automatisé)</t>
        </is>
      </c>
      <c r="M99" s="45" t="n">
        <v>46323</v>
      </c>
      <c r="N99" s="44" t="n"/>
      <c r="O99" s="43" t="n"/>
    </row>
    <row r="100" ht="112" customHeight="1" s="73">
      <c r="A100" s="55" t="inlineStr">
        <is>
          <t>AUT-04</t>
        </is>
      </c>
      <c r="B100" s="56" t="inlineStr">
        <is>
          <t>Transverse</t>
        </is>
      </c>
      <c r="C100" s="57" t="inlineStr">
        <is>
          <t>Connexion et comptes</t>
        </is>
      </c>
      <c r="D100" s="41" t="inlineStr">
        <is>
          <t>/connexion</t>
        </is>
      </c>
      <c r="E100" s="41" t="inlineStr">
        <is>
          <t>Producteur</t>
        </is>
      </c>
      <c r="F100" s="42" t="inlineStr">
        <is>
          <t>P1</t>
        </is>
      </c>
      <c r="G100" s="41" t="inlineStr">
        <is>
          <t>Application lancée (start.bat), données de démonstration chargées.</t>
        </is>
      </c>
      <c r="H100" s="41" t="inlineStr">
        <is>
          <t>1. Saisir 0197000001 et demander le code.
2. Saisir un code faux 5 fois de suite.
3. Saisir ensuite le bon code.</t>
        </is>
      </c>
      <c r="I100" s="41" t="inlineStr">
        <is>
          <t>Un message d'erreur s'affiche à chaque échec. Après 5 échecs le compte est verrouillé : le bon code est lui aussi refusé.</t>
        </is>
      </c>
      <c r="J100" s="43" t="inlineStr">
        <is>
          <t>5 codes faux : 4 refus (400 invalid_code) puis blocage au 5e essai (429 « Compte bloqué après 5 échecs. Réessayez dans 15 minutes. ») ; le bon code est refusé ensuite (400 invalid_code, le code est invalidé au blocage) ; une nouvelle demande de code est refusée (429 locked).</t>
        </is>
      </c>
      <c r="K100" s="44" t="inlineStr">
        <is>
          <t>OK</t>
        </is>
      </c>
      <c r="L100" s="44" t="inlineStr">
        <is>
          <t>Claude (essai automatisé)</t>
        </is>
      </c>
      <c r="M100" s="45" t="n">
        <v>46323</v>
      </c>
      <c r="N100" s="44" t="n"/>
      <c r="O100" s="43" t="inlineStr">
        <is>
          <t>Vérifié par l'API sur un compte créé pour l'essai (verrouillé 15 min) ; le compte de Bio GOUNOU n'a pas été verrouillé.</t>
        </is>
      </c>
    </row>
    <row r="101" ht="60" customHeight="1" s="73">
      <c r="A101" s="55" t="inlineStr">
        <is>
          <t>AUT-05</t>
        </is>
      </c>
      <c r="B101" s="56" t="inlineStr">
        <is>
          <t>Transverse</t>
        </is>
      </c>
      <c r="C101" s="57" t="inlineStr">
        <is>
          <t>Connexion et comptes</t>
        </is>
      </c>
      <c r="D101" s="41" t="inlineStr">
        <is>
          <t>/connexion</t>
        </is>
      </c>
      <c r="E101" s="41" t="inlineStr">
        <is>
          <t>Producteur</t>
        </is>
      </c>
      <c r="F101" s="42" t="inlineStr">
        <is>
          <t>P3</t>
        </is>
      </c>
      <c r="G101" s="41" t="inlineStr">
        <is>
          <t>Application lancée (start.bat), données de démonstration chargées.</t>
        </is>
      </c>
      <c r="H101" s="41" t="inlineStr">
        <is>
          <t>1. Demander un code, ne pas le saisir.
2. Attendre l'expiration du code, puis le saisir.
3. Redemander un code et se connecter.</t>
        </is>
      </c>
      <c r="I101" s="41" t="inlineStr">
        <is>
          <t>Un code périmé est refusé avec un message clair. Un nouveau code fonctionne.</t>
        </is>
      </c>
      <c r="J101" s="43" t="inlineStr">
        <is>
          <t>Code demandé puis saisi 13 min plus tard : refusé (400 Code invalide ou expiré.) ; nouveau code demandé : connexion réussie (200).</t>
        </is>
      </c>
      <c r="K101" s="44" t="inlineStr">
        <is>
          <t>OK</t>
        </is>
      </c>
      <c r="L101" s="44" t="inlineStr">
        <is>
          <t>Claude (essai automatisé)</t>
        </is>
      </c>
      <c r="M101" s="45" t="n">
        <v>46323</v>
      </c>
      <c r="N101" s="44" t="n"/>
      <c r="O101" s="43" t="inlineStr">
        <is>
          <t>Vérifié par l'API sur le compte Auditeur CoPil (durée de vie du code : 10 min).</t>
        </is>
      </c>
    </row>
    <row r="102" ht="60" customHeight="1" s="73">
      <c r="A102" s="55" t="inlineStr">
        <is>
          <t>AUT-06</t>
        </is>
      </c>
      <c r="B102" s="56" t="inlineStr">
        <is>
          <t>Transverse</t>
        </is>
      </c>
      <c r="C102" s="57" t="inlineStr">
        <is>
          <t>Connexion et comptes</t>
        </is>
      </c>
      <c r="D102" s="41" t="inlineStr">
        <is>
          <t>Menu du profil</t>
        </is>
      </c>
      <c r="E102" s="41" t="inlineStr">
        <is>
          <t>Tous les rôles</t>
        </is>
      </c>
      <c r="F102" s="42" t="inlineStr">
        <is>
          <t>P1</t>
        </is>
      </c>
      <c r="G102" s="41" t="inlineStr">
        <is>
          <t>Être connecté.</t>
        </is>
      </c>
      <c r="H102" s="41" t="inlineStr">
        <is>
          <t>1. Ouvrir le menu du profil (pastille en haut à droite).
2. Cliquer « Se déconnecter ».</t>
        </is>
      </c>
      <c r="I102" s="41" t="inlineStr">
        <is>
          <t>Retour à une page publique sans la sidebar. Le bouton « Précédent » du navigateur ne rouvre aucune page privée.</t>
        </is>
      </c>
      <c r="J102" s="43" t="inlineStr">
        <is>
          <t>« Se déconnecter » renvoie à l'accueil public sans sidebar ; « Précédent » ne rouvre aucune page privée (/connexion).</t>
        </is>
      </c>
      <c r="K102" s="44" t="inlineStr">
        <is>
          <t>OK</t>
        </is>
      </c>
      <c r="L102" s="44" t="inlineStr">
        <is>
          <t>Claude (essai automatisé)</t>
        </is>
      </c>
      <c r="M102" s="45" t="n">
        <v>46323</v>
      </c>
      <c r="N102" s="44" t="n"/>
      <c r="O102" s="43" t="n"/>
    </row>
    <row r="103" ht="47" customHeight="1" s="73">
      <c r="A103" s="55" t="inlineStr">
        <is>
          <t>AUT-07</t>
        </is>
      </c>
      <c r="B103" s="56" t="inlineStr">
        <is>
          <t>Transverse</t>
        </is>
      </c>
      <c r="C103" s="57" t="inlineStr">
        <is>
          <t>Connexion et comptes</t>
        </is>
      </c>
      <c r="D103" s="41" t="inlineStr">
        <is>
          <t>/parcelles</t>
        </is>
      </c>
      <c r="E103" s="41" t="inlineStr">
        <is>
          <t>Public (non connecté)</t>
        </is>
      </c>
      <c r="F103" s="42" t="inlineStr">
        <is>
          <t>P1</t>
        </is>
      </c>
      <c r="G103" s="41" t="inlineStr">
        <is>
          <t>Être déconnecté.</t>
        </is>
      </c>
      <c r="H103" s="41" t="inlineStr">
        <is>
          <t>1. Ouvrir directement l'adresse /parcelles.</t>
        </is>
      </c>
      <c r="I103" s="41" t="inlineStr">
        <is>
          <t>Aucune donnée n'est affichée : renvoi vers la connexion ou accès refusé.</t>
        </is>
      </c>
      <c r="J103" s="43" t="inlineStr">
        <is>
          <t>/parcelles sans session : redirigé vers /connexion, aucune donnée affichée.</t>
        </is>
      </c>
      <c r="K103" s="44" t="inlineStr">
        <is>
          <t>OK</t>
        </is>
      </c>
      <c r="L103" s="44" t="inlineStr">
        <is>
          <t>Claude (essai automatisé)</t>
        </is>
      </c>
      <c r="M103" s="45" t="n">
        <v>46323</v>
      </c>
      <c r="N103" s="44" t="n"/>
      <c r="O103" s="43" t="n"/>
    </row>
    <row r="104" ht="47" customHeight="1" s="73">
      <c r="A104" s="55" t="inlineStr">
        <is>
          <t>AUT-08</t>
        </is>
      </c>
      <c r="B104" s="56" t="inlineStr">
        <is>
          <t>Transverse</t>
        </is>
      </c>
      <c r="C104" s="57" t="inlineStr">
        <is>
          <t>Connexion et comptes</t>
        </is>
      </c>
      <c r="D104" s="41" t="inlineStr">
        <is>
          <t>/comptes</t>
        </is>
      </c>
      <c r="E104" s="41" t="inlineStr">
        <is>
          <t>Producteur</t>
        </is>
      </c>
      <c r="F104" s="42" t="inlineStr">
        <is>
          <t>P1</t>
        </is>
      </c>
      <c r="G104" s="41" t="inlineStr">
        <is>
          <t>Connecté (téléphone 0197000001).</t>
        </is>
      </c>
      <c r="H104" s="41" t="inlineStr">
        <is>
          <t>1. Saisir dans la barre d'adresse /comptes (réservé à l'administrateur).</t>
        </is>
      </c>
      <c r="I104" s="41" t="inlineStr">
        <is>
          <t>La page n'est pas accessible au producteur : refus ou redirection, jamais la liste des comptes.</t>
        </is>
      </c>
      <c r="J104" s="43" t="inlineStr">
        <is>
          <t>Producteur sur /comptes : « Accès refusé · 403 Page réservée », aucune liste de comptes.</t>
        </is>
      </c>
      <c r="K104" s="44" t="inlineStr">
        <is>
          <t>OK</t>
        </is>
      </c>
      <c r="L104" s="44" t="inlineStr">
        <is>
          <t>Claude (essai automatisé)</t>
        </is>
      </c>
      <c r="M104" s="45" t="n">
        <v>46323</v>
      </c>
      <c r="N104" s="44" t="n"/>
      <c r="O104" s="43" t="n"/>
    </row>
    <row r="105" ht="73" customHeight="1" s="73">
      <c r="A105" s="55" t="inlineStr">
        <is>
          <t>AUT-09</t>
        </is>
      </c>
      <c r="B105" s="56" t="inlineStr">
        <is>
          <t>Transverse</t>
        </is>
      </c>
      <c r="C105" s="57" t="inlineStr">
        <is>
          <t>Connexion et comptes</t>
        </is>
      </c>
      <c r="D105" s="41" t="inlineStr">
        <is>
          <t>Menu du profil</t>
        </is>
      </c>
      <c r="E105" s="41" t="inlineStr">
        <is>
          <t>Producteur</t>
        </is>
      </c>
      <c r="F105" s="42" t="inlineStr">
        <is>
          <t>P3</t>
        </is>
      </c>
      <c r="G105" s="41" t="inlineStr">
        <is>
          <t>Connecté (téléphone 0197000001).</t>
        </is>
      </c>
      <c r="H105" s="41" t="inlineStr">
        <is>
          <t>1. Ouvrir le menu du profil.
2. Cocher « Mode sombre ».
3. Décocher.</t>
        </is>
      </c>
      <c r="I105" s="41" t="inlineStr">
        <is>
          <t>Le thème bascule entre clair et sombre sans perte de lisibilité. Le menu propose aussi « Mon profil » et « Mes consentements » au producteur.</t>
        </is>
      </c>
      <c r="J105" s="43" t="inlineStr">
        <is>
          <t>Menu du profil : Mon profil, Mes consentements, Mode sombre, Se déconnecter. Le thème passe de light à dark (fond #071F18, texte #EAF6EF) puis revient.</t>
        </is>
      </c>
      <c r="K105" s="44" t="inlineStr">
        <is>
          <t>OK</t>
        </is>
      </c>
      <c r="L105" s="44" t="inlineStr">
        <is>
          <t>Claude (essai automatisé)</t>
        </is>
      </c>
      <c r="M105" s="45" t="n">
        <v>46323</v>
      </c>
      <c r="N105" s="44" t="n"/>
      <c r="O105" s="43" t="inlineStr">
        <is>
          <t>Lisibilité jugée par les couleurs seulement, pas à l'œil.</t>
        </is>
      </c>
    </row>
    <row r="106" ht="212.85" customHeight="1" s="73">
      <c r="A106" s="55" t="inlineStr">
        <is>
          <t>NAV-01</t>
        </is>
      </c>
      <c r="B106" s="56" t="inlineStr">
        <is>
          <t>Transverse</t>
        </is>
      </c>
      <c r="C106" s="57" t="inlineStr">
        <is>
          <t>Navigation (sidebar)</t>
        </is>
      </c>
      <c r="D106" s="41" t="inlineStr">
        <is>
          <t>Sidebar</t>
        </is>
      </c>
      <c r="E106" s="41" t="inlineStr">
        <is>
          <t>Producteur</t>
        </is>
      </c>
      <c r="F106" s="42" t="inlineStr">
        <is>
          <t>P1</t>
        </is>
      </c>
      <c r="G106" s="41" t="inlineStr">
        <is>
          <t>Compte 0197000001.</t>
        </is>
      </c>
      <c r="H106" s="41" t="inlineStr">
        <is>
          <t>1. Se connecter en Producteur.
2. Ouvrir chaque rubrique repliée de la sidebar (clic sur son titre).
3. Comparer l'ordre des rubriques et des entrées avec la liste attendue.</t>
        </is>
      </c>
      <c r="I106" s="41" t="inlineStr">
        <is>
          <t>Rubriques dans cet ordre :
• Sans titre : Accueil
• Enregistrement : Ma carte · Mes parcelles · Sols et terres · Aménagements · Mes coopératives · Mon matériel · Entreprises agricoles
• Suivi : Mes campagnes · Suivi satellite · Mécanisation · Traçabilité · Mon revenu · Programmes · Mes appuis · Mes remboursements · Formations
• Intelligence artificielle : Poser une question · Photo de plante · Météo et prix · Risques climatiques
• Marketplace : Marché · Vitrine des produits · Services et innovations
• Mes droits : Mes messages · Mes contestations · Mes consentements
Total : 27 entrées.</t>
        </is>
      </c>
      <c r="J106" s="43" t="inlineStr">
        <is>
          <t>Producteur : 27 entrées, rubriques et ordre identiques à la liste attendue ; chaque entrée ouvre sa page sans erreur.</t>
        </is>
      </c>
      <c r="K106" s="44" t="inlineStr">
        <is>
          <t>OK</t>
        </is>
      </c>
      <c r="L106" s="44" t="inlineStr">
        <is>
          <t>Claude (essai automatisé)</t>
        </is>
      </c>
      <c r="M106" s="45" t="n">
        <v>46323</v>
      </c>
      <c r="N106" s="44" t="n"/>
      <c r="O106" s="43" t="inlineStr">
        <is>
          <t>Essai automatisé dans le navigateur (Chromium, 1280 px).</t>
        </is>
      </c>
    </row>
    <row r="107" ht="264" customHeight="1" s="73">
      <c r="A107" s="55" t="inlineStr">
        <is>
          <t>NAV-02</t>
        </is>
      </c>
      <c r="B107" s="56" t="inlineStr">
        <is>
          <t>Transverse</t>
        </is>
      </c>
      <c r="C107" s="57" t="inlineStr">
        <is>
          <t>Navigation (sidebar)</t>
        </is>
      </c>
      <c r="D107" s="41" t="inlineStr">
        <is>
          <t>Sidebar</t>
        </is>
      </c>
      <c r="E107" s="41" t="inlineStr">
        <is>
          <t>Agent ATDA</t>
        </is>
      </c>
      <c r="F107" s="42" t="inlineStr">
        <is>
          <t>P1</t>
        </is>
      </c>
      <c r="G107" s="41" t="inlineStr">
        <is>
          <t>Compte 0197000002 + mot de passe AgriDemo-2026!.</t>
        </is>
      </c>
      <c r="H107" s="41" t="inlineStr">
        <is>
          <t>1. Se connecter en Agent ATDA.
2. Ouvrir chaque rubrique repliée de la sidebar (clic sur son titre).
3. Comparer l'ordre des rubriques et des entrées avec la liste attendue.</t>
        </is>
      </c>
      <c r="I107" s="41" t="inlineStr">
        <is>
          <t>Rubriques dans cet ordre :
• Sans titre : Accueil
• Enregistrement : Producteurs · Coopératives · Aménagements · Sols et terres · Matériel agricole · Entreprises agricoles · Boîte d'envoi simulée
• Suivi : Récoltes signalées · Traçabilité · Semences certifiées · Stocks et ruptures · Suivi satellite · Candidatures · Sélections · Appuis · Recouvrement · Contestations à instruire · Organisations de filière · Formations · Enquêtes de satisfaction · Tableau de bord · Indicateurs SEA · Couverture et importations · Carte des acteurs · Alertes
• Intelligence artificielle : Poser une question · Météo et prix · Risques climatiques
• Marketplace : Relevés de prix · Analyses des marchés · Vitrine des produits · Services et innovations
Total : 33 entrées.</t>
        </is>
      </c>
      <c r="J107" s="43" t="inlineStr">
        <is>
          <t>Agent ATDA : 33 entrées, rubriques et ordre identiques à la liste attendue ; chaque entrée ouvre sa page sans erreur.</t>
        </is>
      </c>
      <c r="K107" s="44" t="inlineStr">
        <is>
          <t>OK</t>
        </is>
      </c>
      <c r="L107" s="44" t="inlineStr">
        <is>
          <t>Claude (essai automatisé)</t>
        </is>
      </c>
      <c r="M107" s="45" t="n">
        <v>46323</v>
      </c>
      <c r="N107" s="44" t="n"/>
      <c r="O107" s="43" t="inlineStr">
        <is>
          <t>Essai automatisé dans le navigateur (Chromium, 1280 px).</t>
        </is>
      </c>
    </row>
    <row r="108" ht="84.75" customHeight="1" s="73">
      <c r="A108" s="55" t="inlineStr">
        <is>
          <t>NAV-03</t>
        </is>
      </c>
      <c r="B108" s="56" t="inlineStr">
        <is>
          <t>Transverse</t>
        </is>
      </c>
      <c r="C108" s="57" t="inlineStr">
        <is>
          <t>Navigation (sidebar)</t>
        </is>
      </c>
      <c r="D108" s="41" t="inlineStr">
        <is>
          <t>Sidebar</t>
        </is>
      </c>
      <c r="E108" s="41" t="inlineStr">
        <is>
          <t>Agronome INRAB</t>
        </is>
      </c>
      <c r="F108" s="42" t="inlineStr">
        <is>
          <t>P1</t>
        </is>
      </c>
      <c r="G108" s="41" t="inlineStr">
        <is>
          <t>Compte 0197000003 + mot de passe AgriDemo-2026!.</t>
        </is>
      </c>
      <c r="H108" s="41" t="inlineStr">
        <is>
          <t>1. Se connecter en Agronome INRAB.
2. Ouvrir chaque rubrique repliée de la sidebar (clic sur son titre).
3. Comparer l'ordre des rubriques et des entrées avec la liste attendue.</t>
        </is>
      </c>
      <c r="I108" s="41" t="inlineStr">
        <is>
          <t>Rubriques dans cet ordre :
• Intelligence artificielle : Fiches techniques · Diagnostics à revoir · Poser une question · Qualité des modèles
• Marketplace : Services et innovations
Total : 5 entrées.</t>
        </is>
      </c>
      <c r="J108" s="43" t="inlineStr">
        <is>
          <t>Agronome INRAB : 5 entrées, rubriques et ordre identiques à la liste attendue ; chaque entrée ouvre sa page sans erreur.</t>
        </is>
      </c>
      <c r="K108" s="44" t="inlineStr">
        <is>
          <t>OK</t>
        </is>
      </c>
      <c r="L108" s="44" t="inlineStr">
        <is>
          <t>Claude (essai automatisé)</t>
        </is>
      </c>
      <c r="M108" s="45" t="n">
        <v>46323</v>
      </c>
      <c r="N108" s="44" t="n"/>
      <c r="O108" s="43" t="inlineStr">
        <is>
          <t>Essai automatisé dans le navigateur (Chromium, 1280 px).</t>
        </is>
      </c>
    </row>
    <row r="109" ht="212.85" customHeight="1" s="73">
      <c r="A109" s="55" t="inlineStr">
        <is>
          <t>NAV-04</t>
        </is>
      </c>
      <c r="B109" s="56" t="inlineStr">
        <is>
          <t>Transverse</t>
        </is>
      </c>
      <c r="C109" s="57" t="inlineStr">
        <is>
          <t>Navigation (sidebar)</t>
        </is>
      </c>
      <c r="D109" s="41" t="inlineStr">
        <is>
          <t>Sidebar</t>
        </is>
      </c>
      <c r="E109" s="41" t="inlineStr">
        <is>
          <t>Responsable de programme</t>
        </is>
      </c>
      <c r="F109" s="42" t="inlineStr">
        <is>
          <t>P1</t>
        </is>
      </c>
      <c r="G109" s="41" t="inlineStr">
        <is>
          <t>Compte 0197000004 + mot de passe AgriDemo-2026!.</t>
        </is>
      </c>
      <c r="H109" s="41" t="inlineStr">
        <is>
          <t>1. Se connecter en Responsable de programme.
2. Ouvrir chaque rubrique repliée de la sidebar (clic sur son titre).
3. Comparer l'ordre des rubriques et des entrées avec la liste attendue.</t>
        </is>
      </c>
      <c r="I109" s="41" t="inlineStr">
        <is>
          <t>Rubriques dans cet ordre :
• Suivi : Programmes · Sélections · Candidatures · Recouvrement · Organisations de filière · Formations · Enquêtes de satisfaction · Stocks et ruptures · Semences certifiées · Suivi satellite · Tableau de bord · Indicateurs SEA · Couverture et importations · Carte des acteurs
• Enregistrement : Aménagements · Sols et terres · Matériel agricole · Entreprises agricoles
• Intelligence artificielle : Poser une question · Prévisions · Risques climatiques · Qualité des modèles
• Marketplace : Relevés de prix · Analyses des marchés · Vitrine des produits · Services et innovations
Total : 26 entrées.</t>
        </is>
      </c>
      <c r="J109" s="43" t="inlineStr">
        <is>
          <t>Responsable de programme : 26 entrées, rubriques et ordre identiques à la liste attendue ; chaque entrée ouvre sa page sans erreur.</t>
        </is>
      </c>
      <c r="K109" s="44" t="inlineStr">
        <is>
          <t>OK</t>
        </is>
      </c>
      <c r="L109" s="44" t="inlineStr">
        <is>
          <t>Claude (essai automatisé)</t>
        </is>
      </c>
      <c r="M109" s="45" t="n">
        <v>46323</v>
      </c>
      <c r="N109" s="44" t="n"/>
      <c r="O109" s="43" t="inlineStr">
        <is>
          <t>Essai automatisé dans le navigateur (Chromium, 1280 px).</t>
        </is>
      </c>
    </row>
    <row r="110" ht="289.65" customHeight="1" s="73">
      <c r="A110" s="55" t="inlineStr">
        <is>
          <t>NAV-05</t>
        </is>
      </c>
      <c r="B110" s="56" t="inlineStr">
        <is>
          <t>Transverse</t>
        </is>
      </c>
      <c r="C110" s="57" t="inlineStr">
        <is>
          <t>Navigation (sidebar)</t>
        </is>
      </c>
      <c r="D110" s="41" t="inlineStr">
        <is>
          <t>Sidebar</t>
        </is>
      </c>
      <c r="E110" s="41" t="inlineStr">
        <is>
          <t>Administrateur MAEP</t>
        </is>
      </c>
      <c r="F110" s="42" t="inlineStr">
        <is>
          <t>P1</t>
        </is>
      </c>
      <c r="G110" s="41" t="inlineStr">
        <is>
          <t>Compte 0197000005 + mot de passe AgriDemo-2026!.</t>
        </is>
      </c>
      <c r="H110" s="41" t="inlineStr">
        <is>
          <t>1. Se connecter en Administrateur MAEP.
2. Ouvrir chaque rubrique repliée de la sidebar (clic sur son titre).
3. Comparer l'ordre des rubriques et des entrées avec la liste attendue.</t>
        </is>
      </c>
      <c r="I110" s="41" t="inlineStr">
        <is>
          <t>Rubriques dans cet ordre :
• Suivi : Tableau de bord · Indicateurs SEA · Couverture et importations · Carte des acteurs · Exports · Appuis · Recouvrement · Organisations de filière · Sélections · Contestations à instruire · Récoltes signalées · Traçabilité · Semences certifiées · Stocks et ruptures · Suivi satellite · Formations · Enquêtes de satisfaction · Alertes
• Enregistrement : Producteurs · Coopératives · Aménagements · Sols et terres · Matériel agricole · Entreprises agricoles · Boîte d'envoi simulée
• Intelligence artificielle : Poser une question · Prévisions · Traductions · Risques climatiques · Qualité des modèles
• Marketplace : Marché · Relevés de prix · Analyses des marchés · Vitrine des produits · Services et innovations
• Administration : Comptes · Journal d'audit · Interopérabilité
Total : 38 entrées.</t>
        </is>
      </c>
      <c r="J110" s="43" t="inlineStr">
        <is>
          <t>Administrateur MAEP : 38 entrées, rubriques et ordre identiques à la liste attendue ; chaque entrée ouvre sa page sans erreur.</t>
        </is>
      </c>
      <c r="K110" s="44" t="inlineStr">
        <is>
          <t>OK</t>
        </is>
      </c>
      <c r="L110" s="44" t="inlineStr">
        <is>
          <t>Claude (essai automatisé)</t>
        </is>
      </c>
      <c r="M110" s="45" t="n">
        <v>46323</v>
      </c>
      <c r="N110" s="44" t="n"/>
      <c r="O110" s="43" t="inlineStr">
        <is>
          <t>Essai automatisé dans le navigateur (Chromium, 1280 px).</t>
        </is>
      </c>
    </row>
    <row r="111" ht="148.8" customHeight="1" s="73">
      <c r="A111" s="55" t="inlineStr">
        <is>
          <t>NAV-06</t>
        </is>
      </c>
      <c r="B111" s="56" t="inlineStr">
        <is>
          <t>Transverse</t>
        </is>
      </c>
      <c r="C111" s="57" t="inlineStr">
        <is>
          <t>Navigation (sidebar)</t>
        </is>
      </c>
      <c r="D111" s="41" t="inlineStr">
        <is>
          <t>Sidebar</t>
        </is>
      </c>
      <c r="E111" s="41" t="inlineStr">
        <is>
          <t>Auditeur CoPil</t>
        </is>
      </c>
      <c r="F111" s="42" t="inlineStr">
        <is>
          <t>P1</t>
        </is>
      </c>
      <c r="G111" s="41" t="inlineStr">
        <is>
          <t>Compte 0197000006 + mot de passe AgriDemo-2026!.</t>
        </is>
      </c>
      <c r="H111" s="41" t="inlineStr">
        <is>
          <t>1. Se connecter en Auditeur CoPil.
2. Ouvrir chaque rubrique repliée de la sidebar (clic sur son titre).
3. Comparer l'ordre des rubriques et des entrées avec la liste attendue.</t>
        </is>
      </c>
      <c r="I111" s="41" t="inlineStr">
        <is>
          <t>Rubriques dans cet ordre :
• Administration : Journal d'audit
• Suivi : Couverture et importations · Carte des acteurs · Recouvrement · Organisations de filière · Semences certifiées
• Enregistrement : Aménagements · Sols et terres · Matériel agricole · Entreprises agricoles
• Intelligence artificielle : Risques climatiques · Qualité des modèles
• Marketplace : Services et innovations
Total : 13 entrées.</t>
        </is>
      </c>
      <c r="J111" s="43" t="inlineStr">
        <is>
          <t>Auditeur CoPil : 13 entrées, rubriques et ordre identiques à la liste attendue ; chaque entrée ouvre sa page sans erreur.</t>
        </is>
      </c>
      <c r="K111" s="44" t="inlineStr">
        <is>
          <t>OK</t>
        </is>
      </c>
      <c r="L111" s="44" t="inlineStr">
        <is>
          <t>Claude (essai automatisé)</t>
        </is>
      </c>
      <c r="M111" s="45" t="n">
        <v>46323</v>
      </c>
      <c r="N111" s="44" t="n"/>
      <c r="O111" s="43" t="inlineStr">
        <is>
          <t>Essai automatisé dans le navigateur (Chromium, 1280 px).</t>
        </is>
      </c>
    </row>
    <row r="112" ht="72" customHeight="1" s="73">
      <c r="A112" s="55" t="inlineStr">
        <is>
          <t>NAV-07</t>
        </is>
      </c>
      <c r="B112" s="56" t="inlineStr">
        <is>
          <t>Transverse</t>
        </is>
      </c>
      <c r="C112" s="57" t="inlineStr">
        <is>
          <t>Navigation (sidebar)</t>
        </is>
      </c>
      <c r="D112" s="41" t="inlineStr">
        <is>
          <t>Sidebar</t>
        </is>
      </c>
      <c r="E112" s="41" t="inlineStr">
        <is>
          <t>Agent financier</t>
        </is>
      </c>
      <c r="F112" s="42" t="inlineStr">
        <is>
          <t>P1</t>
        </is>
      </c>
      <c r="G112" s="41" t="inlineStr">
        <is>
          <t>Compte 0197000007 + mot de passe AgriDemo-2026!.</t>
        </is>
      </c>
      <c r="H112" s="41" t="inlineStr">
        <is>
          <t>1. Se connecter en Agent financier.
2. Ouvrir chaque rubrique repliée de la sidebar (clic sur son titre).
3. Comparer l'ordre des rubriques et des entrées avec la liste attendue.</t>
        </is>
      </c>
      <c r="I112" s="41" t="inlineStr">
        <is>
          <t>Rubriques dans cet ordre :
• Intelligence artificielle : Crédit
• Suivi : Recouvrement
• Marketplace : Services et innovations
Total : 3 entrées.</t>
        </is>
      </c>
      <c r="J112" s="43" t="inlineStr">
        <is>
          <t>Agent financier : 3 entrées, rubriques et ordre identiques à la liste attendue ; chaque entrée ouvre sa page sans erreur.</t>
        </is>
      </c>
      <c r="K112" s="44" t="inlineStr">
        <is>
          <t>OK</t>
        </is>
      </c>
      <c r="L112" s="44" t="inlineStr">
        <is>
          <t>Claude (essai automatisé)</t>
        </is>
      </c>
      <c r="M112" s="45" t="n">
        <v>46323</v>
      </c>
      <c r="N112" s="44" t="n"/>
      <c r="O112" s="43" t="inlineStr">
        <is>
          <t>Essai automatisé dans le navigateur (Chromium, 1280 px).</t>
        </is>
      </c>
    </row>
    <row r="113" ht="123.15" customHeight="1" s="73">
      <c r="A113" s="55" t="inlineStr">
        <is>
          <t>NAV-08</t>
        </is>
      </c>
      <c r="B113" s="56" t="inlineStr">
        <is>
          <t>Transverse</t>
        </is>
      </c>
      <c r="C113" s="57" t="inlineStr">
        <is>
          <t>Navigation (sidebar)</t>
        </is>
      </c>
      <c r="D113" s="41" t="inlineStr">
        <is>
          <t>Sidebar</t>
        </is>
      </c>
      <c r="E113" s="41" t="inlineStr">
        <is>
          <t>Gestionnaire de coopérative</t>
        </is>
      </c>
      <c r="F113" s="42" t="inlineStr">
        <is>
          <t>P1</t>
        </is>
      </c>
      <c r="G113" s="41" t="inlineStr">
        <is>
          <t>Compte 0197000008 + mot de passe AgriDemo-2026!.</t>
        </is>
      </c>
      <c r="H113" s="41" t="inlineStr">
        <is>
          <t>1. Se connecter en Gestionnaire de coopérative.
2. Ouvrir chaque rubrique repliée de la sidebar (clic sur son titre).
3. Comparer l'ordre des rubriques et des entrées avec la liste attendue.</t>
        </is>
      </c>
      <c r="I113" s="41" t="inlineStr">
        <is>
          <t>Rubriques dans cet ordre :
• Enregistrement : Ma coopérative · Mon matériel · Entreprises agricoles
• Suivi : Mécanisation · Collecte · Traçabilité · Organisations de filière · Stocks et ruptures · Formations
• Marketplace : Marché · Relevés de prix · Vitrine des produits · Services et innovations
Total : 13 entrées.</t>
        </is>
      </c>
      <c r="J113" s="43" t="inlineStr">
        <is>
          <t>Gestionnaire de coopérative : 13 entrées, rubriques et ordre identiques à la liste attendue ; chaque entrée ouvre sa page sans erreur.</t>
        </is>
      </c>
      <c r="K113" s="44" t="inlineStr">
        <is>
          <t>OK</t>
        </is>
      </c>
      <c r="L113" s="44" t="inlineStr">
        <is>
          <t>Claude (essai automatisé)</t>
        </is>
      </c>
      <c r="M113" s="45" t="n">
        <v>46323</v>
      </c>
      <c r="N113" s="44" t="n"/>
      <c r="O113" s="43" t="inlineStr">
        <is>
          <t>Essai automatisé dans le navigateur (Chromium, 1280 px).</t>
        </is>
      </c>
    </row>
    <row r="114" ht="110.4" customHeight="1" s="73">
      <c r="A114" s="55" t="inlineStr">
        <is>
          <t>NAV-09</t>
        </is>
      </c>
      <c r="B114" s="56" t="inlineStr">
        <is>
          <t>Transverse</t>
        </is>
      </c>
      <c r="C114" s="57" t="inlineStr">
        <is>
          <t>Navigation (sidebar)</t>
        </is>
      </c>
      <c r="D114" s="41" t="inlineStr">
        <is>
          <t>Sidebar</t>
        </is>
      </c>
      <c r="E114" s="41" t="inlineStr">
        <is>
          <t>Transformateur</t>
        </is>
      </c>
      <c r="F114" s="42" t="inlineStr">
        <is>
          <t>P1</t>
        </is>
      </c>
      <c r="G114" s="41" t="inlineStr">
        <is>
          <t>Compte 0197000009 + mot de passe AgriDemo-2026!.</t>
        </is>
      </c>
      <c r="H114" s="41" t="inlineStr">
        <is>
          <t>1. Se connecter en Transformateur.
2. Ouvrir chaque rubrique repliée de la sidebar (clic sur son titre).
3. Comparer l'ordre des rubriques et des entrées avec la liste attendue.</t>
        </is>
      </c>
      <c r="I114" s="41" t="inlineStr">
        <is>
          <t>Rubriques dans cet ordre :
• Marketplace : Marché · Offres et stocks · Relevés de prix · Analyses des marchés · Vitrine des produits · Services et innovations
• Enregistrement : Entreprises agricoles
• Suivi : Mes remboursements · Collecte · Traçabilité · Stocks et ruptures · Formations
Total : 12 entrées.</t>
        </is>
      </c>
      <c r="J114" s="43" t="inlineStr">
        <is>
          <t>Transformateur : 12 entrées, rubriques et ordre identiques à la liste attendue ; chaque entrée ouvre sa page sans erreur.</t>
        </is>
      </c>
      <c r="K114" s="44" t="inlineStr">
        <is>
          <t>OK</t>
        </is>
      </c>
      <c r="L114" s="44" t="inlineStr">
        <is>
          <t>Claude (essai automatisé)</t>
        </is>
      </c>
      <c r="M114" s="45" t="n">
        <v>46323</v>
      </c>
      <c r="N114" s="44" t="n"/>
      <c r="O114" s="43" t="inlineStr">
        <is>
          <t>Essai automatisé dans le navigateur (Chromium, 1280 px).</t>
        </is>
      </c>
    </row>
    <row r="115" ht="110.4" customHeight="1" s="73">
      <c r="A115" s="55" t="inlineStr">
        <is>
          <t>NAV-10</t>
        </is>
      </c>
      <c r="B115" s="56" t="inlineStr">
        <is>
          <t>Transverse</t>
        </is>
      </c>
      <c r="C115" s="57" t="inlineStr">
        <is>
          <t>Navigation (sidebar)</t>
        </is>
      </c>
      <c r="D115" s="41" t="inlineStr">
        <is>
          <t>Sidebar</t>
        </is>
      </c>
      <c r="E115" s="41" t="inlineStr">
        <is>
          <t>Distributeur</t>
        </is>
      </c>
      <c r="F115" s="42" t="inlineStr">
        <is>
          <t>P1</t>
        </is>
      </c>
      <c r="G115" s="41" t="inlineStr">
        <is>
          <t>Compte 0197000010 + mot de passe AgriDemo-2026!.</t>
        </is>
      </c>
      <c r="H115" s="41" t="inlineStr">
        <is>
          <t>1. Se connecter en Distributeur.
2. Ouvrir chaque rubrique repliée de la sidebar (clic sur son titre).
3. Comparer l'ordre des rubriques et des entrées avec la liste attendue.</t>
        </is>
      </c>
      <c r="I115" s="41" t="inlineStr">
        <is>
          <t>Rubriques dans cet ordre :
• Marketplace : Marché · Offres et stocks · Relevés de prix · Analyses des marchés · Vitrine des produits · Services et innovations
• Enregistrement : Entreprises agricoles
• Suivi : Collecte · Traçabilité · Stocks et ruptures · Formations
Total : 11 entrées.</t>
        </is>
      </c>
      <c r="J115" s="43" t="inlineStr">
        <is>
          <t>Distributeur : 11 entrées, rubriques et ordre identiques à la liste attendue ; chaque entrée ouvre sa page sans erreur.</t>
        </is>
      </c>
      <c r="K115" s="44" t="inlineStr">
        <is>
          <t>OK</t>
        </is>
      </c>
      <c r="L115" s="44" t="inlineStr">
        <is>
          <t>Claude (essai automatisé)</t>
        </is>
      </c>
      <c r="M115" s="45" t="n">
        <v>46323</v>
      </c>
      <c r="N115" s="44" t="n"/>
      <c r="O115" s="43" t="inlineStr">
        <is>
          <t>Essai automatisé dans le navigateur (Chromium, 1280 px).</t>
        </is>
      </c>
    </row>
    <row r="116" ht="72" customHeight="1" s="73">
      <c r="A116" s="55" t="inlineStr">
        <is>
          <t>NAV-11</t>
        </is>
      </c>
      <c r="B116" s="56" t="inlineStr">
        <is>
          <t>Transverse</t>
        </is>
      </c>
      <c r="C116" s="57" t="inlineStr">
        <is>
          <t>Navigation (sidebar)</t>
        </is>
      </c>
      <c r="D116" s="41" t="inlineStr">
        <is>
          <t>Sidebar</t>
        </is>
      </c>
      <c r="E116" s="41" t="inlineStr">
        <is>
          <t>Représentant MTDI</t>
        </is>
      </c>
      <c r="F116" s="42" t="inlineStr">
        <is>
          <t>P1</t>
        </is>
      </c>
      <c r="G116" s="41" t="inlineStr">
        <is>
          <t>Compte 0197000011 + mot de passe AgriDemo-2026!.</t>
        </is>
      </c>
      <c r="H116" s="41" t="inlineStr">
        <is>
          <t>1. Se connecter en Représentant MTDI.
2. Ouvrir chaque rubrique repliée de la sidebar (clic sur son titre).
3. Comparer l'ordre des rubriques et des entrées avec la liste attendue.</t>
        </is>
      </c>
      <c r="I116" s="41" t="inlineStr">
        <is>
          <t>Rubriques dans cet ordre :
• Intelligence artificielle : Traductions
• Suivi : Indicateurs SEA · Suivi satellite
Total : 3 entrées.</t>
        </is>
      </c>
      <c r="J116" s="43" t="inlineStr">
        <is>
          <t>Représentant MTDI : 3 entrées, rubriques et ordre identiques à la liste attendue ; chaque entrée ouvre sa page sans erreur.</t>
        </is>
      </c>
      <c r="K116" s="44" t="inlineStr">
        <is>
          <t>OK</t>
        </is>
      </c>
      <c r="L116" s="44" t="inlineStr">
        <is>
          <t>Claude (essai automatisé)</t>
        </is>
      </c>
      <c r="M116" s="45" t="n">
        <v>46323</v>
      </c>
      <c r="N116" s="44" t="n"/>
      <c r="O116" s="43" t="inlineStr">
        <is>
          <t>Essai automatisé dans le navigateur (Chromium, 1280 px).</t>
        </is>
      </c>
    </row>
    <row r="117" ht="86" customHeight="1" s="73">
      <c r="A117" s="55" t="inlineStr">
        <is>
          <t>NAV-12</t>
        </is>
      </c>
      <c r="B117" s="56" t="inlineStr">
        <is>
          <t>Transverse</t>
        </is>
      </c>
      <c r="C117" s="57" t="inlineStr">
        <is>
          <t>Navigation (sidebar)</t>
        </is>
      </c>
      <c r="D117" s="41" t="inlineStr">
        <is>
          <t>Sidebar</t>
        </is>
      </c>
      <c r="E117" s="41" t="inlineStr">
        <is>
          <t>Tous les rôles</t>
        </is>
      </c>
      <c r="F117" s="42" t="inlineStr">
        <is>
          <t>P1</t>
        </is>
      </c>
      <c r="G117" s="41" t="inlineStr">
        <is>
          <t>Comptes de démonstration.</t>
        </is>
      </c>
      <c r="H117" s="41" t="inlineStr">
        <is>
          <t>1. Se connecter successivement avec chaque rôle.
2. Chercher « Poser une question » dans la rubrique « Intelligence artificielle ».</t>
        </is>
      </c>
      <c r="I117" s="41" t="inlineStr">
        <is>
          <t>L'entrée est présente pour : Producteur, Agent ATDA, Agronome INRAB, Responsable de programme, Administrateur MAEP. Elle est absente pour : Auditeur CoPil, Agent financier, Gestionnaire de coopérative, Transformateur, Distributeur, Représentant MTDI.</t>
        </is>
      </c>
      <c r="J117" s="43" t="inlineStr">
        <is>
          <t>« Poser une question » présente pour Producteur, Agent ATDA, Agronome, Responsable, Administrateur ; absente pour Auditeur, Agent financier, Gestionnaire, Transformateur, Distributeur, MTDI.</t>
        </is>
      </c>
      <c r="K117" s="44" t="inlineStr">
        <is>
          <t>OK</t>
        </is>
      </c>
      <c r="L117" s="44" t="inlineStr">
        <is>
          <t>Claude (essai automatisé)</t>
        </is>
      </c>
      <c r="M117" s="45" t="n">
        <v>46323</v>
      </c>
      <c r="N117" s="44" t="n"/>
      <c r="O117" s="43" t="n"/>
    </row>
    <row r="118" ht="123.15" customHeight="1" s="73">
      <c r="A118" s="55" t="inlineStr">
        <is>
          <t>NAV-13</t>
        </is>
      </c>
      <c r="B118" s="56" t="inlineStr">
        <is>
          <t>Transverse</t>
        </is>
      </c>
      <c r="C118" s="57" t="inlineStr">
        <is>
          <t>Navigation (sidebar)</t>
        </is>
      </c>
      <c r="D118" s="41" t="inlineStr">
        <is>
          <t>Sidebar</t>
        </is>
      </c>
      <c r="E118" s="41" t="inlineStr">
        <is>
          <t>Tous les rôles</t>
        </is>
      </c>
      <c r="F118" s="42" t="inlineStr">
        <is>
          <t>P1</t>
        </is>
      </c>
      <c r="G118" s="41" t="inlineStr">
        <is>
          <t>Comptes de démonstration.</t>
        </is>
      </c>
      <c r="H118" s="41" t="inlineStr">
        <is>
          <t>1. Se connecter avec chaque rôle.
2. Noter la première page affichée après la connexion.</t>
        </is>
      </c>
      <c r="I118" s="41" t="inlineStr">
        <is>
          <t>La page d'arrivée est la première entrée du menu : Producteur → Accueil ; Agent ATDA → Accueil ; Agronome INRAB → Fiches techniques ; Responsable de programme → Programmes ; Administrateur MAEP → Tableau de bord ; Auditeur CoPil → Journal d'audit ; Agent financier → Crédit ; Gestionnaire de coopérative → Ma coopérative ; Transformateur → Marché ; Distributeur → Marché ; Représentant MTDI → Traductions.</t>
        </is>
      </c>
      <c r="J118" s="43" t="inlineStr">
        <is>
          <t>Page d'arrivée = première entrée pour les 11 rôles : / (Producteur, Agent), /fiches, /programmes, /tableau-de-bord, /journal, /credit, /cooperatives, /marche (x2), /langues.</t>
        </is>
      </c>
      <c r="K118" s="44" t="inlineStr">
        <is>
          <t>OK</t>
        </is>
      </c>
      <c r="L118" s="44" t="inlineStr">
        <is>
          <t>Claude (essai automatisé)</t>
        </is>
      </c>
      <c r="M118" s="45" t="n">
        <v>46323</v>
      </c>
      <c r="N118" s="44" t="n"/>
      <c r="O118" s="43" t="n"/>
    </row>
    <row r="119" ht="112" customHeight="1" s="73">
      <c r="A119" s="55" t="inlineStr">
        <is>
          <t>NAV-14</t>
        </is>
      </c>
      <c r="B119" s="56" t="inlineStr">
        <is>
          <t>Transverse</t>
        </is>
      </c>
      <c r="C119" s="57" t="inlineStr">
        <is>
          <t>Navigation (sidebar)</t>
        </is>
      </c>
      <c r="D119" s="41" t="inlineStr">
        <is>
          <t>Sidebar</t>
        </is>
      </c>
      <c r="E119" s="41" t="inlineStr">
        <is>
          <t>Producteur + Administrateur MAEP</t>
        </is>
      </c>
      <c r="F119" s="42" t="inlineStr">
        <is>
          <t>P2</t>
        </is>
      </c>
      <c r="G119" s="41" t="inlineStr">
        <is>
          <t>Menu long (plus de 12 entrées et plus de 3 rubriques).</t>
        </is>
      </c>
      <c r="H119" s="41" t="inlineStr">
        <is>
          <t>1. Ouvrir une page, observer les rubriques.
2. Cliquer le titre d'une rubrique repliée, puis d'une rubrique ouverte.</t>
        </is>
      </c>
      <c r="I119" s="41" t="inlineStr">
        <is>
          <t>Au premier affichage, la première rubrique titrée et celle de la page courante sont ouvertes ; les autres sont repliées. Un clic sur le titre ouvre ou ferme (chevron et aria-expanded).</t>
        </is>
      </c>
      <c r="J119" s="43" t="inlineStr">
        <is>
          <t>Producteur : à /campagnes, « Enregistrement » (1re rubrique titrée) et « Suivi » (page courante) ouvertes, les autres repliées ; un clic sur « Marketplace » l'ouvre puis la ferme (aria-expanded true/false). Administrateur : « Suivi » ouverte au départ.</t>
        </is>
      </c>
      <c r="K119" s="44" t="inlineStr">
        <is>
          <t>OK</t>
        </is>
      </c>
      <c r="L119" s="44" t="inlineStr">
        <is>
          <t>Claude (essai automatisé)</t>
        </is>
      </c>
      <c r="M119" s="45" t="n">
        <v>46323</v>
      </c>
      <c r="N119" s="44" t="n"/>
      <c r="O119" s="43" t="n"/>
    </row>
    <row r="120" ht="73" customHeight="1" s="73">
      <c r="A120" s="55" t="inlineStr">
        <is>
          <t>NAV-15</t>
        </is>
      </c>
      <c r="B120" s="56" t="inlineStr">
        <is>
          <t>Transverse</t>
        </is>
      </c>
      <c r="C120" s="57" t="inlineStr">
        <is>
          <t>Navigation (sidebar)</t>
        </is>
      </c>
      <c r="D120" s="41" t="inlineStr">
        <is>
          <t>Barre de recherche</t>
        </is>
      </c>
      <c r="E120" s="41" t="inlineStr">
        <is>
          <t>Tous les rôles</t>
        </is>
      </c>
      <c r="F120" s="42" t="inlineStr">
        <is>
          <t>P2</t>
        </is>
      </c>
      <c r="G120" s="41" t="inlineStr">
        <is>
          <t>Être connecté.</t>
        </is>
      </c>
      <c r="H120" s="41" t="inlineStr">
        <is>
          <t>1. Taper « parc » dans la recherche de l'en-tête puis Entrée.
2. Appuyer sur « / » hors d'un champ de saisie.
3. Chercher « zzz ».</t>
        </is>
      </c>
      <c r="I120" s="41" t="inlineStr">
        <is>
          <t>La première page du menu correspondante s'ouvre. La touche « / » place le curseur dans la recherche. Un terme inconnu affiche un message « aucun résultat ».</t>
        </is>
      </c>
      <c r="J120" s="43" t="inlineStr">
        <is>
          <t>« parc » + Entrée ouvre /parcelles ; la touche « / » met le curseur dans la recherche ; « zzz » affiche « Aucune page ne correspond à « zzz ». ».</t>
        </is>
      </c>
      <c r="K120" s="44" t="inlineStr">
        <is>
          <t>OK</t>
        </is>
      </c>
      <c r="L120" s="44" t="inlineStr">
        <is>
          <t>Claude (essai automatisé)</t>
        </is>
      </c>
      <c r="M120" s="45" t="n">
        <v>46323</v>
      </c>
      <c r="N120" s="44" t="n"/>
      <c r="O120" s="43" t="inlineStr">
        <is>
          <t>À 1280 px la recherche est une icône qui déploie le champ.</t>
        </is>
      </c>
    </row>
    <row r="121" ht="47" customHeight="1" s="73">
      <c r="A121" s="55" t="inlineStr">
        <is>
          <t>NAV-16</t>
        </is>
      </c>
      <c r="B121" s="56" t="inlineStr">
        <is>
          <t>Transverse</t>
        </is>
      </c>
      <c r="C121" s="57" t="inlineStr">
        <is>
          <t>Navigation (sidebar)</t>
        </is>
      </c>
      <c r="D121" s="41" t="inlineStr">
        <is>
          <t>Sidebar</t>
        </is>
      </c>
      <c r="E121" s="41" t="inlineStr">
        <is>
          <t>Tous les rôles</t>
        </is>
      </c>
      <c r="F121" s="42" t="inlineStr">
        <is>
          <t>P3</t>
        </is>
      </c>
      <c r="G121" s="41" t="inlineStr">
        <is>
          <t>Écran large (1024 px ou plus).</t>
        </is>
      </c>
      <c r="H121" s="41" t="inlineStr">
        <is>
          <t>1. Cliquer « Réduire » en bas de la sidebar.
2. Recharger la page.
3. Cliquer « Agrandir ».</t>
        </is>
      </c>
      <c r="I121" s="41" t="inlineStr">
        <is>
          <t>La sidebar passe en icônes seules puis revient ; le choix est gardé après rechargement.</t>
        </is>
      </c>
      <c r="J121" s="43" t="inlineStr">
        <is>
          <t>La sidebar passe de 264 px à 76 px (icônes), reste à 76 px après rechargement, puis revient à 264 px.</t>
        </is>
      </c>
      <c r="K121" s="44" t="inlineStr">
        <is>
          <t>OK</t>
        </is>
      </c>
      <c r="L121" s="44" t="inlineStr">
        <is>
          <t>Claude (essai automatisé)</t>
        </is>
      </c>
      <c r="M121" s="45" t="n">
        <v>46323</v>
      </c>
      <c r="N121" s="44" t="n"/>
      <c r="O121" s="43" t="inlineStr">
        <is>
          <t>Le bouton s'appelle « Replier le menu » (le cahier dit « Réduire »).</t>
        </is>
      </c>
    </row>
    <row r="122" ht="73" customHeight="1" s="73">
      <c r="A122" s="55" t="inlineStr">
        <is>
          <t>NAV-17</t>
        </is>
      </c>
      <c r="B122" s="56" t="inlineStr">
        <is>
          <t>Transverse</t>
        </is>
      </c>
      <c r="C122" s="57" t="inlineStr">
        <is>
          <t>Navigation (sidebar)</t>
        </is>
      </c>
      <c r="D122" s="41" t="inlineStr">
        <is>
          <t>Tiroir mobile</t>
        </is>
      </c>
      <c r="E122" s="41" t="inlineStr">
        <is>
          <t>Tous les rôles</t>
        </is>
      </c>
      <c r="F122" s="42" t="inlineStr">
        <is>
          <t>P2</t>
        </is>
      </c>
      <c r="G122" s="41" t="inlineStr">
        <is>
          <t>Largeur d'écran inférieure à 1024 px.</t>
        </is>
      </c>
      <c r="H122" s="41" t="inlineStr">
        <is>
          <t>1. Cliquer le bouton menu de l'en-tête.
2. Cliquer une entrée.
3. Rouvrir puis appuyer sur Échap.</t>
        </is>
      </c>
      <c r="I122" s="41" t="inlineStr">
        <is>
          <t>La navigation s'ouvre en tiroir sur voile ; un lien la referme ; Échap la referme et rend le focus au bouton.</t>
        </is>
      </c>
      <c r="J122" s="43" t="inlineStr">
        <is>
          <t>À 390 px : le menu s'ouvre en tiroir sur voile ; cliquer « Ma carte » ouvre la page et ferme le tiroir ; Échap le ferme et le focus revient sur « Ouvrir le menu ».</t>
        </is>
      </c>
      <c r="K122" s="44" t="inlineStr">
        <is>
          <t>OK</t>
        </is>
      </c>
      <c r="L122" s="44" t="inlineStr">
        <is>
          <t>Claude (essai automatisé)</t>
        </is>
      </c>
      <c r="M122" s="45" t="n">
        <v>46323</v>
      </c>
      <c r="N122" s="44" t="n"/>
      <c r="O122" s="43" t="n"/>
    </row>
    <row r="123" ht="73" customHeight="1" s="73">
      <c r="A123" s="55" t="inlineStr">
        <is>
          <t>NAV-18</t>
        </is>
      </c>
      <c r="B123" s="56" t="inlineStr">
        <is>
          <t>Transverse</t>
        </is>
      </c>
      <c r="C123" s="57" t="inlineStr">
        <is>
          <t>Navigation (sidebar)</t>
        </is>
      </c>
      <c r="D123" s="41" t="inlineStr">
        <is>
          <t>Toutes les entrées</t>
        </is>
      </c>
      <c r="E123" s="41" t="inlineStr">
        <is>
          <t>Tous les rôles</t>
        </is>
      </c>
      <c r="F123" s="42" t="inlineStr">
        <is>
          <t>P1</t>
        </is>
      </c>
      <c r="G123" s="41" t="inlineStr">
        <is>
          <t>Comptes de démonstration.</t>
        </is>
      </c>
      <c r="H123" s="41" t="inlineStr">
        <is>
          <t>1. Pour chaque rôle, cliquer chaque entrée de la sidebar, l'une après l'autre.</t>
        </is>
      </c>
      <c r="I123" s="41" t="inlineStr">
        <is>
          <t>Chaque page s'affiche avec un titre, sans message d'erreur ni écran blanc ni « Page introuvable ». Le titre de l'onglet du navigateur est celui de la page.</t>
        </is>
      </c>
      <c r="J123" s="43" t="inlineStr">
        <is>
          <t>184 entrées ouvertes (11 rôles) : chacune affiche un titre h1 et un titre d'onglet, sans « Page introuvable », sans alerte ni erreur console.</t>
        </is>
      </c>
      <c r="K123" s="44" t="inlineStr">
        <is>
          <t>OK</t>
        </is>
      </c>
      <c r="L123" s="44" t="inlineStr">
        <is>
          <t>Claude (essai automatisé)</t>
        </is>
      </c>
      <c r="M123" s="45" t="n">
        <v>46323</v>
      </c>
      <c r="N123" s="44" t="n"/>
      <c r="O123" s="43" t="inlineStr">
        <is>
          <t>« Mes parcelles » charge sa carte : le titre apparaît après environ 1 s.</t>
        </is>
      </c>
    </row>
    <row r="124" ht="86" customHeight="1" s="73">
      <c r="A124" s="55" t="inlineStr">
        <is>
          <t>SEC-01</t>
        </is>
      </c>
      <c r="B124" s="56" t="inlineStr">
        <is>
          <t>Transverse</t>
        </is>
      </c>
      <c r="C124" s="57" t="inlineStr">
        <is>
          <t>Sécurité, données et audit</t>
        </is>
      </c>
      <c r="D124" s="41" t="inlineStr">
        <is>
          <t>/journal</t>
        </is>
      </c>
      <c r="E124" s="41" t="inlineStr">
        <is>
          <t>Auditeur CoPil</t>
        </is>
      </c>
      <c r="F124" s="42" t="inlineStr">
        <is>
          <t>P1</t>
        </is>
      </c>
      <c r="G124" s="41" t="inlineStr">
        <is>
          <t>Connecté (téléphone 0197000006). Actions des cas REG-04, GOU-05 et SCO-02 faites.</t>
        </is>
      </c>
      <c r="H124" s="41" t="inlineStr">
        <is>
          <t>1. Ouvrir « Journal d'audit ».
2. Filtrer par objet et par dates.</t>
        </is>
      </c>
      <c r="I124" s="41" t="inlineStr">
        <is>
          <t>Inscription, validation, alerte, sélection et consultation du score y figurent, en lecture seule ; la chaîne d'intégrité est vérifiable.</t>
        </is>
      </c>
      <c r="J124" s="43" t="inlineStr">
        <is>
          <t>Journal d'audit : chaîne d'intégrité vérifiée (ok=true, 392 entrées, aucune rupture) ; les actions producer.register, producer.validate, alert.send, selection.run/validate et credit.score_view y figurent.</t>
        </is>
      </c>
      <c r="K124" s="44" t="inlineStr">
        <is>
          <t>OK</t>
        </is>
      </c>
      <c r="L124" s="44" t="inlineStr">
        <is>
          <t>Claude (essai automatisé)</t>
        </is>
      </c>
      <c r="M124" s="45" t="n">
        <v>46323</v>
      </c>
      <c r="N124" s="44" t="n"/>
      <c r="O124" s="43" t="inlineStr">
        <is>
          <t>Vérifié par l'API ; filtres par objet et par dates à contrôler à l'écran.</t>
        </is>
      </c>
    </row>
    <row r="125" ht="86" customHeight="1" s="73">
      <c r="A125" s="55" t="inlineStr">
        <is>
          <t>SEC-02</t>
        </is>
      </c>
      <c r="B125" s="56" t="inlineStr">
        <is>
          <t>Transverse</t>
        </is>
      </c>
      <c r="C125" s="57" t="inlineStr">
        <is>
          <t>Sécurité, données et audit</t>
        </is>
      </c>
      <c r="D125" s="41" t="inlineStr">
        <is>
          <t>/exports</t>
        </is>
      </c>
      <c r="E125" s="41" t="inlineStr">
        <is>
          <t>Administrateur MAEP</t>
        </is>
      </c>
      <c r="F125" s="42" t="inlineStr">
        <is>
          <t>P1</t>
        </is>
      </c>
      <c r="G125" s="41" t="inlineStr">
        <is>
          <t>Connecté (téléphone 0197000005).</t>
        </is>
      </c>
      <c r="H125" s="41" t="inlineStr">
        <is>
          <t>1. « Exports » : exporter les producteurs en CSV avec un motif de 5 caractères.
2. Recommencer avec un motif d'au moins 10 caractères.
3. Ouvrir le journal.</t>
        </is>
      </c>
      <c r="I125" s="41" t="inlineStr">
        <is>
          <t>Le motif court est refusé. L'export valide est téléchargé et apparaît dans le journal avec son motif.</t>
        </is>
      </c>
      <c r="J125" s="43" t="inlineStr">
        <is>
          <t>Export « producteurs » : motif « court » refusé (400, au moins 10 caractères) ; motif valide : CSV de 48 lignes téléchargé ; le journal contient export.csv avec le motif et le nombre de lignes.</t>
        </is>
      </c>
      <c r="K125" s="44" t="inlineStr">
        <is>
          <t>OK</t>
        </is>
      </c>
      <c r="L125" s="44" t="inlineStr">
        <is>
          <t>Claude (essai automatisé)</t>
        </is>
      </c>
      <c r="M125" s="45" t="n">
        <v>46323</v>
      </c>
      <c r="N125" s="44" t="n"/>
      <c r="O125" s="43" t="inlineStr">
        <is>
          <t>Vérifié par l'API.</t>
        </is>
      </c>
    </row>
    <row r="126" ht="125" customHeight="1" s="73">
      <c r="A126" s="55" t="inlineStr">
        <is>
          <t>SEC-03</t>
        </is>
      </c>
      <c r="B126" s="56" t="inlineStr">
        <is>
          <t>Transverse</t>
        </is>
      </c>
      <c r="C126" s="57" t="inlineStr">
        <is>
          <t>Sécurité, données et audit</t>
        </is>
      </c>
      <c r="D126" s="41" t="inlineStr">
        <is>
          <t>/consentements</t>
        </is>
      </c>
      <c r="E126" s="41" t="inlineStr">
        <is>
          <t>Producteur</t>
        </is>
      </c>
      <c r="F126" s="42" t="inlineStr">
        <is>
          <t>P1</t>
        </is>
      </c>
      <c r="G126" s="41" t="inlineStr">
        <is>
          <t>Connecté (téléphone 0197000001).</t>
        </is>
      </c>
      <c r="H126" s="41" t="inlineStr">
        <is>
          <t>1. Ouvrir « Mes consentements ».
2. Retirer un consentement.</t>
        </is>
      </c>
      <c r="I126" s="41" t="inlineStr">
        <is>
          <t>Les consentements sont listés et retirables ; chaque changement est journalisé.</t>
        </is>
      </c>
      <c r="J126" s="43" t="inlineStr">
        <is>
          <t>« Mes consentements » (producteur de test) : le consentement « données personnelles » (v1, web) est listé puis retiré (200, withdrawn_at renseigné) ; le journal enregistre consent.withdraw puis producer.close (le retrait ferme la fiche et la session : la liste redemandée répond « Connexion requise »).</t>
        </is>
      </c>
      <c r="K126" s="44" t="inlineStr">
        <is>
          <t>OK</t>
        </is>
      </c>
      <c r="L126" s="44" t="inlineStr">
        <is>
          <t>Claude (essai automatisé)</t>
        </is>
      </c>
      <c r="M126" s="45" t="n">
        <v>46323</v>
      </c>
      <c r="N126" s="44" t="n"/>
      <c r="O126" s="43" t="inlineStr">
        <is>
          <t>Vérifié par l'API sur le producteur de l'essai ; le retrait du consentement crédit est couvert en SCO-01 (journal credit.consent_withdraw).</t>
        </is>
      </c>
    </row>
    <row r="127" ht="73" customHeight="1" s="73">
      <c r="A127" s="55" t="inlineStr">
        <is>
          <t>SEC-04</t>
        </is>
      </c>
      <c r="B127" s="56" t="inlineStr">
        <is>
          <t>Transverse</t>
        </is>
      </c>
      <c r="C127" s="57" t="inlineStr">
        <is>
          <t>Sécurité, données et audit</t>
        </is>
      </c>
      <c r="D127" s="41" t="inlineStr">
        <is>
          <t>/producteurs</t>
        </is>
      </c>
      <c r="E127" s="41" t="inlineStr">
        <is>
          <t>Agent ATDA</t>
        </is>
      </c>
      <c r="F127" s="42" t="inlineStr">
        <is>
          <t>P1</t>
        </is>
      </c>
      <c r="G127" s="41" t="inlineStr">
        <is>
          <t>Connecté (téléphone 0197000002).</t>
        </is>
      </c>
      <c r="H127" s="41" t="inlineStr">
        <is>
          <t>1. Chercher un producteur d'un autre département (ex. Littoral) par son code ou son identifiant.</t>
        </is>
      </c>
      <c r="I127" s="41" t="inlineStr">
        <is>
          <t>Le producteur est introuvable : l'agent reste dans son département.</t>
        </is>
      </c>
      <c r="J127" s="43" t="inlineStr">
        <is>
          <t>Producteur d'un autre département (atlantique) : fiche introuvable pour l'agent de l'Alibori (404), recherche par code sans résultat, validation refusée (404).</t>
        </is>
      </c>
      <c r="K127" s="44" t="inlineStr">
        <is>
          <t>OK</t>
        </is>
      </c>
      <c r="L127" s="44" t="inlineStr">
        <is>
          <t>Claude (essai automatisé)</t>
        </is>
      </c>
      <c r="M127" s="45" t="n">
        <v>46323</v>
      </c>
      <c r="N127" s="44" t="n"/>
      <c r="O127" s="43" t="inlineStr">
        <is>
          <t>Vérifié par l'API.</t>
        </is>
      </c>
    </row>
    <row r="128" ht="73" customHeight="1" s="73">
      <c r="A128" s="55" t="inlineStr">
        <is>
          <t>SEC-05</t>
        </is>
      </c>
      <c r="B128" s="56" t="inlineStr">
        <is>
          <t>Transverse</t>
        </is>
      </c>
      <c r="C128" s="57" t="inlineStr">
        <is>
          <t>Sécurité, données et audit</t>
        </is>
      </c>
      <c r="D128" s="41" t="inlineStr">
        <is>
          <t>/carte-acteurs</t>
        </is>
      </c>
      <c r="E128" s="41" t="inlineStr">
        <is>
          <t>Agent ATDA + Administrateur MAEP</t>
        </is>
      </c>
      <c r="F128" s="42" t="inlineStr">
        <is>
          <t>P2</t>
        </is>
      </c>
      <c r="G128" s="41" t="inlineStr">
        <is>
          <t>Connecté (téléphone 0197000002).</t>
        </is>
      </c>
      <c r="H128" s="41" t="inlineStr">
        <is>
          <t>1. Parcourir la carte des acteurs et les fiches ouvertes.</t>
        </is>
      </c>
      <c r="I128" s="41" t="inlineStr">
        <is>
          <t>Aucun téléphone ni nom de personne n'apparaît dans les agrégats et la carte.</t>
        </is>
      </c>
      <c r="J128" s="43" t="inlineStr">
        <is>
          <t>Carte des acteurs (agent et administrateur) : aucun numéro de téléphone, aucun champ de nom de personne (18735 caractères de données examinés).</t>
        </is>
      </c>
      <c r="K128" s="44" t="inlineStr">
        <is>
          <t>OK</t>
        </is>
      </c>
      <c r="L128" s="44" t="inlineStr">
        <is>
          <t>Claude (essai automatisé)</t>
        </is>
      </c>
      <c r="M128" s="45" t="n">
        <v>46323</v>
      </c>
      <c r="N128" s="44" t="n"/>
      <c r="O128" s="43" t="inlineStr">
        <is>
          <t>Vérifié par l'API ; cartes et fiches ouvertes à l'écran non parcourues.</t>
        </is>
      </c>
    </row>
    <row r="129" ht="60" customHeight="1" s="73">
      <c r="A129" s="55" t="inlineStr">
        <is>
          <t>SEC-06</t>
        </is>
      </c>
      <c r="B129" s="56" t="inlineStr">
        <is>
          <t>Transverse</t>
        </is>
      </c>
      <c r="C129" s="57" t="inlineStr">
        <is>
          <t>Sécurité, données et audit</t>
        </is>
      </c>
      <c r="D129" s="41" t="inlineStr">
        <is>
          <t>/comptes</t>
        </is>
      </c>
      <c r="E129" s="41" t="inlineStr">
        <is>
          <t>Administrateur MAEP</t>
        </is>
      </c>
      <c r="F129" s="42" t="inlineStr">
        <is>
          <t>P2</t>
        </is>
      </c>
      <c r="G129" s="41" t="inlineStr">
        <is>
          <t>Connecté (téléphone 0197000005).</t>
        </is>
      </c>
      <c r="H129" s="41" t="inlineStr">
        <is>
          <t>1. Ouvrir « Comptes », créer un compte, le désactiver.</t>
        </is>
      </c>
      <c r="I129" s="41" t="inlineStr">
        <is>
          <t>Création et désactivation fonctionnent ; l'action est journalisée.</t>
        </is>
      </c>
      <c r="J129" s="43" t="inlineStr">
        <is>
          <t>Compte créé par l'administrateur (201, rôle agent_atda) puis désactivé (is_active=false) ; le journal contient user.create et user.update.</t>
        </is>
      </c>
      <c r="K129" s="44" t="inlineStr">
        <is>
          <t>OK</t>
        </is>
      </c>
      <c r="L129" s="44" t="inlineStr">
        <is>
          <t>Claude (essai automatisé)</t>
        </is>
      </c>
      <c r="M129" s="45" t="n">
        <v>46323</v>
      </c>
      <c r="N129" s="44" t="n"/>
      <c r="O129" s="43" t="inlineStr">
        <is>
          <t>Vérifié par l'API ; compte « Compte de recette » désactivé laissé en base.</t>
        </is>
      </c>
    </row>
    <row r="130" ht="99" customHeight="1" s="73">
      <c r="A130" s="55" t="inlineStr">
        <is>
          <t>SEC-07</t>
        </is>
      </c>
      <c r="B130" s="56" t="inlineStr">
        <is>
          <t>Transverse</t>
        </is>
      </c>
      <c r="C130" s="57" t="inlineStr">
        <is>
          <t>Sécurité, données et audit</t>
        </is>
      </c>
      <c r="D130" s="41" t="inlineStr">
        <is>
          <t>/interoperabilite</t>
        </is>
      </c>
      <c r="E130" s="41" t="inlineStr">
        <is>
          <t>Administrateur MAEP</t>
        </is>
      </c>
      <c r="F130" s="42" t="inlineStr">
        <is>
          <t>P3</t>
        </is>
      </c>
      <c r="G130" s="41" t="inlineStr">
        <is>
          <t>Connecté (téléphone 0197000005).</t>
        </is>
      </c>
      <c r="H130" s="41" t="inlineStr">
        <is>
          <t>1. Ouvrir « Interopérabilité ».</t>
        </is>
      </c>
      <c r="I130" s="41" t="inlineStr">
        <is>
          <t>L'état des raccordements est affiché honnêtement (X-Road non raccordé : API d'agrégats et formats ouverts seulement).</t>
        </is>
      </c>
      <c r="J130" s="43" t="inlineStr">
        <is>
          <t>Page « Interopérabilité » : bandeau « Connecteurs simulés : aucun échange réel n'a lieu avec X-Road, la SONAMA ou le FNDA dans ce prototype » ; trois connecteurs marqués « Actif » et « Simulation » avec dernier échange et appels sur 24 h.</t>
        </is>
      </c>
      <c r="K130" s="44" t="inlineStr">
        <is>
          <t>OK</t>
        </is>
      </c>
      <c r="L130" s="44" t="inlineStr">
        <is>
          <t>Claude (essai automatisé)</t>
        </is>
      </c>
      <c r="M130" s="45" t="n">
        <v>46323</v>
      </c>
      <c r="N130" s="44" t="n"/>
      <c r="O130" s="43" t="inlineStr">
        <is>
          <t>Le libellé diffère du cahier (« X-Road non raccordé ») : c'est « simulé » qui est affiché ; le fond est honnête.</t>
        </is>
      </c>
    </row>
    <row r="131" ht="86" customHeight="1" s="73">
      <c r="A131" s="55" t="inlineStr">
        <is>
          <t>SEC-08</t>
        </is>
      </c>
      <c r="B131" s="56" t="inlineStr">
        <is>
          <t>Transverse</t>
        </is>
      </c>
      <c r="C131" s="57" t="inlineStr">
        <is>
          <t>Sécurité, données et audit</t>
        </is>
      </c>
      <c r="D131" s="41" t="inlineStr">
        <is>
          <t>/mentions-legales</t>
        </is>
      </c>
      <c r="E131" s="41" t="inlineStr">
        <is>
          <t>Public (non connecté)</t>
        </is>
      </c>
      <c r="F131" s="42" t="inlineStr">
        <is>
          <t>P2</t>
        </is>
      </c>
      <c r="G131" s="41" t="inlineStr">
        <is>
          <t>Être déconnecté.</t>
        </is>
      </c>
      <c r="H131" s="41" t="inlineStr">
        <is>
          <t>1. Ouvrir les pages légales du pied de page et /plan-du-site.</t>
        </is>
      </c>
      <c r="I131" s="41" t="inlineStr">
        <is>
          <t>Les pages légales sont lisibles sans connexion ; le plan du site liste les pages.</t>
        </is>
      </c>
      <c r="J131" s="43" t="inlineStr">
        <is>
          <t>Sans connexion : mentions légales, confidentialité, conditions d'utilisation, accessibilité et contact s'affichent (2 300 à 4 300 caractères, sans sidebar) ; /plan-du-site affiche la liste des pages (9 liens).</t>
        </is>
      </c>
      <c r="K131" s="44" t="inlineStr">
        <is>
          <t>OK</t>
        </is>
      </c>
      <c r="L131" s="44" t="inlineStr">
        <is>
          <t>Claude (essai automatisé)</t>
        </is>
      </c>
      <c r="M131" s="45" t="n">
        <v>46323</v>
      </c>
      <c r="N131" s="44" t="n"/>
      <c r="O131" s="43" t="inlineStr">
        <is>
          <t>Les cinq pages légales portent le même titre h1 « Informations utiles ».</t>
        </is>
      </c>
    </row>
    <row r="132" ht="73" customHeight="1" s="73">
      <c r="A132" s="55" t="inlineStr">
        <is>
          <t>SEC-09</t>
        </is>
      </c>
      <c r="B132" s="56" t="inlineStr">
        <is>
          <t>Transverse</t>
        </is>
      </c>
      <c r="C132" s="57" t="inlineStr">
        <is>
          <t>Sécurité, données et audit</t>
        </is>
      </c>
      <c r="D132" s="41" t="inlineStr">
        <is>
          <t>/boite-envoi</t>
        </is>
      </c>
      <c r="E132" s="41" t="inlineStr">
        <is>
          <t>Agent ATDA</t>
        </is>
      </c>
      <c r="F132" s="42" t="inlineStr">
        <is>
          <t>P2</t>
        </is>
      </c>
      <c r="G132" s="41" t="inlineStr">
        <is>
          <t>Connecté (téléphone 0197000002).</t>
        </is>
      </c>
      <c r="H132" s="41" t="inlineStr">
        <is>
          <t>1. Ouvrir « Boîte d'envoi ».</t>
        </is>
      </c>
      <c r="I132" s="41" t="inlineStr">
        <is>
          <t>Les SMS simulés apparaissent sous un bandeau « Simulation » ; aucun message réel n'est envoyé.</t>
        </is>
      </c>
      <c r="J132" s="43" t="inlineStr">
        <is>
          <t>Boîte d'envoi (agent) : bandeau « Simulation : aucun SMS ni appel réel n'est envoyé. Les numéros sont masqués. » ; 59 messages simulés, tous livrés, 94 segments facturés.</t>
        </is>
      </c>
      <c r="K132" s="44" t="inlineStr">
        <is>
          <t>OK</t>
        </is>
      </c>
      <c r="L132" s="44" t="inlineStr">
        <is>
          <t>Claude (essai automatisé)</t>
        </is>
      </c>
      <c r="M132" s="45" t="n">
        <v>46323</v>
      </c>
      <c r="N132" s="44" t="n"/>
      <c r="O132" s="43" t="inlineStr">
        <is>
          <t>Vérifié à l'écran (texte).</t>
        </is>
      </c>
    </row>
    <row r="133" ht="164" customHeight="1" s="73">
      <c r="A133" s="55" t="inlineStr">
        <is>
          <t>OFF-01</t>
        </is>
      </c>
      <c r="B133" s="56" t="inlineStr">
        <is>
          <t>Transverse</t>
        </is>
      </c>
      <c r="C133" s="57" t="inlineStr">
        <is>
          <t>Hors ligne, mobile et téléphone simple</t>
        </is>
      </c>
      <c r="D133" s="41" t="inlineStr">
        <is>
          <t>/inscription</t>
        </is>
      </c>
      <c r="E133" s="41" t="inlineStr">
        <is>
          <t>Agent ATDA</t>
        </is>
      </c>
      <c r="F133" s="42" t="inlineStr">
        <is>
          <t>P1</t>
        </is>
      </c>
      <c r="G133" s="41" t="inlineStr">
        <is>
          <t>Écran de téléphone (moins de 640 px). Réseau coupé dans les outils du navigateur.</t>
        </is>
      </c>
      <c r="H133" s="41" t="inlineStr">
        <is>
          <t>1. « Inscrire » un producteur, ou enregistrer une remise d'appui.
2. Rétablir le réseau.</t>
        </is>
      </c>
      <c r="I133" s="41" t="inlineStr">
        <is>
          <t>La page dit que la saisie est gardée sur le téléphone ; au retour du réseau, la file d'envoi la rejoue (l'ANIP simulée vérifie alors l'inscription).</t>
        </is>
      </c>
      <c r="J133" s="43" t="inlineStr">
        <is>
          <t>Agent à 390 px, réseau coupé : « Envoyer l'inscription » affiche « Fiche gardée sur ce téléphone — Pas de réseau : l'inscription part dès le retour de la connexion, et l'ANIP (simulée) vérifie l'identité à ce moment. Si elle est refusée, elle reste dans la file d'envoi avec le motif. » ; l'en-tête indique « Hors ligne · 1 en attente ». Réseau rétabli : la fiche est créée côté serveur (BJ-AGR-2026-000050, en attente).</t>
        </is>
      </c>
      <c r="K133" s="44" t="inlineStr">
        <is>
          <t>OK</t>
        </is>
      </c>
      <c r="L133" s="44" t="inlineStr">
        <is>
          <t>Claude (essai automatisé)</t>
        </is>
      </c>
      <c r="M133" s="45" t="n">
        <v>46323</v>
      </c>
      <c r="N133" s="44" t="n"/>
      <c r="O133" s="43" t="inlineStr">
        <is>
          <t>Vérifié à l'écran ; la remise d'appui hors ligne n'a pas été rejouée. Hors ligne, les icônes du menu (sprite SVG) ne se chargent pas en mode développement.</t>
        </is>
      </c>
    </row>
    <row r="134" ht="33.6" customHeight="1" s="73">
      <c r="A134" s="55" t="inlineStr">
        <is>
          <t>OFF-02</t>
        </is>
      </c>
      <c r="B134" s="56" t="inlineStr">
        <is>
          <t>Transverse</t>
        </is>
      </c>
      <c r="C134" s="57" t="inlineStr">
        <is>
          <t>Hors ligne, mobile et téléphone simple</t>
        </is>
      </c>
      <c r="D134" s="41" t="inlineStr">
        <is>
          <t>/campagnes</t>
        </is>
      </c>
      <c r="E134" s="41" t="inlineStr">
        <is>
          <t>Producteur + Agent ATDA</t>
        </is>
      </c>
      <c r="F134" s="42" t="inlineStr">
        <is>
          <t>P2</t>
        </is>
      </c>
      <c r="G134" s="41" t="inlineStr">
        <is>
          <t>Même campagne modifiée sur deux appareils, hors ligne.</t>
        </is>
      </c>
      <c r="H134" s="41" t="inlineStr">
        <is>
          <t>1. Modifier la campagne sur chaque appareil.
2. Reconnecter les deux appareils.</t>
        </is>
      </c>
      <c r="I134" s="41" t="inlineStr">
        <is>
          <t>Au rejeu, l'agent choisit entre la version du serveur et la sienne ; le choix est journalisé.</t>
        </is>
      </c>
      <c r="J134" s="43" t="n"/>
      <c r="K134" s="44" t="inlineStr">
        <is>
          <t>À tester</t>
        </is>
      </c>
      <c r="L134" s="44" t="n"/>
      <c r="M134" s="45" t="n"/>
      <c r="N134" s="44" t="n"/>
      <c r="O134" s="43" t="n"/>
    </row>
    <row r="135" ht="112" customHeight="1" s="73">
      <c r="A135" s="55" t="inlineStr">
        <is>
          <t>OFF-03</t>
        </is>
      </c>
      <c r="B135" s="56" t="inlineStr">
        <is>
          <t>Transverse</t>
        </is>
      </c>
      <c r="C135" s="57" t="inlineStr">
        <is>
          <t>Hors ligne, mobile et téléphone simple</t>
        </is>
      </c>
      <c r="D135" s="41" t="inlineStr">
        <is>
          <t>En-tête</t>
        </is>
      </c>
      <c r="E135" s="41" t="inlineStr">
        <is>
          <t>Agent ATDA</t>
        </is>
      </c>
      <c r="F135" s="42" t="inlineStr">
        <is>
          <t>P2</t>
        </is>
      </c>
      <c r="G135" s="41" t="inlineStr">
        <is>
          <t>Réseau coupé puis rétabli.</t>
        </is>
      </c>
      <c r="H135" s="41" t="inlineStr">
        <is>
          <t>1. Observer le bandeau hors ligne et le bouton de synchronisation de l'en-tête.
2. Cliquer le bouton après le retour du réseau.</t>
        </is>
      </c>
      <c r="I135" s="41" t="inlineStr">
        <is>
          <t>Le bandeau annonce le mode hors ligne et le nombre d'envois en attente ; le bouton envoie la file puis confirme.</t>
        </is>
      </c>
      <c r="J135" s="43" t="inlineStr">
        <is>
          <t>Réseau coupé : bandeau « Hors ligne : vos saisies sont gardées et seront envoyées au retour du réseau. » ; le bouton d'en-tête indique « État de synchronisation : Hors ligne · 1 en attente » après une saisie ; au retour du réseau le compteur disparaît.</t>
        </is>
      </c>
      <c r="K135" s="44" t="inlineStr">
        <is>
          <t>OK</t>
        </is>
      </c>
      <c r="L135" s="44" t="inlineStr">
        <is>
          <t>Claude (essai automatisé)</t>
        </is>
      </c>
      <c r="M135" s="45" t="n">
        <v>46323</v>
      </c>
      <c r="N135" s="44" t="n"/>
      <c r="O135" s="43" t="inlineStr">
        <is>
          <t>Le clic manuel sur le bouton de synchronisation n'a pas été joué.</t>
        </is>
      </c>
    </row>
    <row r="136" ht="86" customHeight="1" s="73">
      <c r="A136" s="55" t="inlineStr">
        <is>
          <t>OFF-04</t>
        </is>
      </c>
      <c r="B136" s="56" t="inlineStr">
        <is>
          <t>Transverse</t>
        </is>
      </c>
      <c r="C136" s="57" t="inlineStr">
        <is>
          <t>Hors ligne, mobile et téléphone simple</t>
        </is>
      </c>
      <c r="D136" s="41" t="inlineStr">
        <is>
          <t>Barre d'onglets mobile</t>
        </is>
      </c>
      <c r="E136" s="41" t="inlineStr">
        <is>
          <t>Producteur + Agent ATDA</t>
        </is>
      </c>
      <c r="F136" s="42" t="inlineStr">
        <is>
          <t>P2</t>
        </is>
      </c>
      <c r="G136" s="41" t="inlineStr">
        <is>
          <t>Largeur d'écran de moins de 640 px.</t>
        </is>
      </c>
      <c r="H136" s="41" t="inlineStr">
        <is>
          <t>1. Producteur : observer la barre du bas (Accueil, Conseil, Photo, Marché, Parcelles).
2. Agent : (Accueil, Producteurs, Inscrire, Remises, Alertes).</t>
        </is>
      </c>
      <c r="I136" s="41" t="inlineStr">
        <is>
          <t>La barre d'onglets propre au rôle apparaît ; le reste du menu est dans le tiroir.</t>
        </is>
      </c>
      <c r="J136" s="43" t="inlineStr">
        <is>
          <t>À 390 px : barre du bas du producteur = Accueil, Conseil, Photo, Marché, Parcelles ; barre de l'agent = Accueil, Producteurs, Inscrire, Remises, Alertes ; le reste du menu est dans le tiroir.</t>
        </is>
      </c>
      <c r="K136" s="44" t="inlineStr">
        <is>
          <t>OK</t>
        </is>
      </c>
      <c r="L136" s="44" t="inlineStr">
        <is>
          <t>Claude (essai automatisé)</t>
        </is>
      </c>
      <c r="M136" s="45" t="n">
        <v>46323</v>
      </c>
      <c r="N136" s="44" t="n"/>
      <c r="O136" s="43" t="n"/>
    </row>
    <row r="137" ht="33.6" customHeight="1" s="73">
      <c r="A137" s="55" t="inlineStr">
        <is>
          <t>OFF-05</t>
        </is>
      </c>
      <c r="B137" s="56" t="inlineStr">
        <is>
          <t>Transverse</t>
        </is>
      </c>
      <c r="C137" s="57" t="inlineStr">
        <is>
          <t>Hors ligne, mobile et téléphone simple</t>
        </is>
      </c>
      <c r="D137" s="41" t="inlineStr">
        <is>
          <t>Notifications du système</t>
        </is>
      </c>
      <c r="E137" s="41" t="inlineStr">
        <is>
          <t>Producteur</t>
        </is>
      </c>
      <c r="F137" s="42" t="inlineStr">
        <is>
          <t>P3</t>
        </is>
      </c>
      <c r="G137" s="41" t="inlineStr">
        <is>
          <t>Chrome, notifications autorisées. Un message non lu arrive.</t>
        </is>
      </c>
      <c r="H137" s="41" t="inlineStr">
        <is>
          <t>1. Réduire l'onglet ou passer à une autre application.
2. Faire arriver un message (ex. alerte de l'agent).</t>
        </is>
      </c>
      <c r="I137" s="41" t="inlineStr">
        <is>
          <t>Une notification du système s'affiche ; le message reste lisible dans « Mes messages ».</t>
        </is>
      </c>
      <c r="J137" s="43" t="n"/>
      <c r="K137" s="44" t="inlineStr">
        <is>
          <t>À tester</t>
        </is>
      </c>
      <c r="L137" s="44" t="n"/>
      <c r="M137" s="45" t="n"/>
      <c r="N137" s="44" t="n"/>
      <c r="O137" s="43" t="n"/>
    </row>
    <row r="138" ht="125" customHeight="1" s="73">
      <c r="A138" s="55" t="inlineStr">
        <is>
          <t>OFF-06</t>
        </is>
      </c>
      <c r="B138" s="56" t="inlineStr">
        <is>
          <t>Transverse</t>
        </is>
      </c>
      <c r="C138" s="57" t="inlineStr">
        <is>
          <t>Hors ligne, mobile et téléphone simple</t>
        </is>
      </c>
      <c r="D138" s="41" t="inlineStr">
        <is>
          <t>USSD / SMS</t>
        </is>
      </c>
      <c r="E138" s="41" t="inlineStr">
        <is>
          <t>Agent ATDA</t>
        </is>
      </c>
      <c r="F138" s="42" t="inlineStr">
        <is>
          <t>P2</t>
        </is>
      </c>
      <c r="G138" s="41" t="inlineStr">
        <is>
          <t>Connecté (téléphone 0197000002).</t>
        </is>
      </c>
      <c r="H138" s="41" t="inlineStr">
        <is>
          <t>1. « Boîte d'envoi », carte « Téléphone simple », numéro 0197000001.
2. « Appeler *000# » : 2 puis 1 ; puis 4 et 1 puis 1.
3. Envoyer par SMS PRIX MAIS puis METEO.</t>
        </is>
      </c>
      <c r="I138" s="41" t="inlineStr">
        <is>
          <t>2 puis 1 affiche les prix du maïs (démonstration). 4 liste les appuis en attente, 1 puis 1 confirme la réception (l'agent est notifié). Les réponses SMS arrivent dans le fil et la boîte d'envoi.</t>
        </is>
      </c>
      <c r="J138" s="43" t="inlineStr">
        <is>
          <t>Téléphone simple (passerelle de démonstration) : *000# → 2 puis 1 affiche « PRIX MAIS (F/kg) Banikoara … (relevés du 28/10) » ; 4 liste l'appui en attente, 4 puis 1 puis 1 répond « Merci, réception confirmée » ; SMS « PRIX MAIS » et « METEO » : réponses renvoyées avec le numéro, la météo vient d'Open-Meteo.</t>
        </is>
      </c>
      <c r="K138" s="44" t="inlineStr">
        <is>
          <t>OK</t>
        </is>
      </c>
      <c r="L138" s="44" t="inlineStr">
        <is>
          <t>Claude (essai automatisé)</t>
        </is>
      </c>
      <c r="M138" s="45" t="n">
        <v>46323</v>
      </c>
      <c r="N138" s="44" t="n"/>
      <c r="O138" s="43" t="inlineStr">
        <is>
          <t>Vérifié par l'API ; l'écran « Téléphone simple » de la boîte d'envoi et la notification à l'agent non vus.</t>
        </is>
      </c>
    </row>
    <row r="139">
      <c r="A139" s="93" t="n"/>
      <c r="B139" s="93" t="n"/>
      <c r="C139" s="93" t="n"/>
      <c r="D139" s="93" t="n"/>
      <c r="E139" s="93" t="n"/>
      <c r="F139" s="93" t="n"/>
      <c r="G139" s="93" t="n"/>
      <c r="H139" s="93" t="n"/>
      <c r="I139" s="93" t="n"/>
      <c r="J139" s="43" t="n"/>
      <c r="K139" s="43" t="n"/>
      <c r="L139" s="43" t="n"/>
      <c r="M139" s="59" t="n"/>
      <c r="N139" s="43" t="n"/>
      <c r="O139" s="43" t="n"/>
    </row>
    <row r="140">
      <c r="A140" s="93" t="n"/>
      <c r="B140" s="93" t="n"/>
      <c r="C140" s="93" t="n"/>
      <c r="D140" s="93" t="n"/>
      <c r="E140" s="93" t="n"/>
      <c r="F140" s="93" t="n"/>
      <c r="G140" s="93" t="n"/>
      <c r="H140" s="93" t="n"/>
      <c r="I140" s="93" t="n"/>
      <c r="J140" s="43" t="n"/>
      <c r="K140" s="43" t="n"/>
      <c r="L140" s="43" t="n"/>
      <c r="M140" s="59" t="n"/>
      <c r="N140" s="43" t="n"/>
      <c r="O140" s="43" t="n"/>
    </row>
    <row r="141">
      <c r="A141" s="93" t="n"/>
      <c r="B141" s="93" t="n"/>
      <c r="C141" s="93" t="n"/>
      <c r="D141" s="93" t="n"/>
      <c r="E141" s="93" t="n"/>
      <c r="F141" s="93" t="n"/>
      <c r="G141" s="93" t="n"/>
      <c r="H141" s="93" t="n"/>
      <c r="I141" s="93" t="n"/>
      <c r="J141" s="43" t="n"/>
      <c r="K141" s="43" t="n"/>
      <c r="L141" s="43" t="n"/>
      <c r="M141" s="59" t="n"/>
      <c r="N141" s="43" t="n"/>
      <c r="O141" s="43" t="n"/>
    </row>
    <row r="142">
      <c r="A142" s="93" t="n"/>
      <c r="B142" s="93" t="n"/>
      <c r="C142" s="93" t="n"/>
      <c r="D142" s="93" t="n"/>
      <c r="E142" s="93" t="n"/>
      <c r="F142" s="93" t="n"/>
      <c r="G142" s="93" t="n"/>
      <c r="H142" s="93" t="n"/>
      <c r="I142" s="93" t="n"/>
      <c r="J142" s="43" t="n"/>
      <c r="K142" s="43" t="n"/>
      <c r="L142" s="43" t="n"/>
      <c r="M142" s="59" t="n"/>
      <c r="N142" s="43" t="n"/>
      <c r="O142" s="43" t="n"/>
    </row>
    <row r="143">
      <c r="A143" s="93" t="n"/>
      <c r="B143" s="93" t="n"/>
      <c r="C143" s="93" t="n"/>
      <c r="D143" s="93" t="n"/>
      <c r="E143" s="93" t="n"/>
      <c r="F143" s="93" t="n"/>
      <c r="G143" s="93" t="n"/>
      <c r="H143" s="93" t="n"/>
      <c r="I143" s="93" t="n"/>
      <c r="J143" s="43" t="n"/>
      <c r="K143" s="43" t="n"/>
      <c r="L143" s="43" t="n"/>
      <c r="M143" s="59" t="n"/>
      <c r="N143" s="43" t="n"/>
      <c r="O143" s="43" t="n"/>
    </row>
    <row r="144">
      <c r="A144" s="93" t="n"/>
      <c r="B144" s="93" t="n"/>
      <c r="C144" s="93" t="n"/>
      <c r="D144" s="93" t="n"/>
      <c r="E144" s="93" t="n"/>
      <c r="F144" s="93" t="n"/>
      <c r="G144" s="93" t="n"/>
      <c r="H144" s="93" t="n"/>
      <c r="I144" s="93" t="n"/>
      <c r="J144" s="43" t="n"/>
      <c r="K144" s="43" t="n"/>
      <c r="L144" s="43" t="n"/>
      <c r="M144" s="59" t="n"/>
      <c r="N144" s="43" t="n"/>
      <c r="O144" s="43" t="n"/>
    </row>
    <row r="145">
      <c r="A145" s="93" t="n"/>
      <c r="B145" s="93" t="n"/>
      <c r="C145" s="93" t="n"/>
      <c r="D145" s="93" t="n"/>
      <c r="E145" s="93" t="n"/>
      <c r="F145" s="93" t="n"/>
      <c r="G145" s="93" t="n"/>
      <c r="H145" s="93" t="n"/>
      <c r="I145" s="93" t="n"/>
      <c r="J145" s="43" t="n"/>
      <c r="K145" s="43" t="n"/>
      <c r="L145" s="43" t="n"/>
      <c r="M145" s="59" t="n"/>
      <c r="N145" s="43" t="n"/>
      <c r="O145" s="43" t="n"/>
    </row>
    <row r="146">
      <c r="A146" s="93" t="n"/>
      <c r="B146" s="93" t="n"/>
      <c r="C146" s="93" t="n"/>
      <c r="D146" s="93" t="n"/>
      <c r="E146" s="93" t="n"/>
      <c r="F146" s="93" t="n"/>
      <c r="G146" s="93" t="n"/>
      <c r="H146" s="93" t="n"/>
      <c r="I146" s="93" t="n"/>
      <c r="J146" s="43" t="n"/>
      <c r="K146" s="43" t="n"/>
      <c r="L146" s="43" t="n"/>
      <c r="M146" s="59" t="n"/>
      <c r="N146" s="43" t="n"/>
      <c r="O146" s="43" t="n"/>
    </row>
    <row r="147">
      <c r="A147" s="93" t="n"/>
      <c r="B147" s="93" t="n"/>
      <c r="C147" s="93" t="n"/>
      <c r="D147" s="93" t="n"/>
      <c r="E147" s="93" t="n"/>
      <c r="F147" s="93" t="n"/>
      <c r="G147" s="93" t="n"/>
      <c r="H147" s="93" t="n"/>
      <c r="I147" s="93" t="n"/>
      <c r="J147" s="43" t="n"/>
      <c r="K147" s="43" t="n"/>
      <c r="L147" s="43" t="n"/>
      <c r="M147" s="59" t="n"/>
      <c r="N147" s="43" t="n"/>
      <c r="O147" s="43" t="n"/>
    </row>
    <row r="148">
      <c r="A148" s="93" t="n"/>
      <c r="B148" s="93" t="n"/>
      <c r="C148" s="93" t="n"/>
      <c r="D148" s="93" t="n"/>
      <c r="E148" s="93" t="n"/>
      <c r="F148" s="93" t="n"/>
      <c r="G148" s="93" t="n"/>
      <c r="H148" s="93" t="n"/>
      <c r="I148" s="93" t="n"/>
      <c r="J148" s="43" t="n"/>
      <c r="K148" s="43" t="n"/>
      <c r="L148" s="43" t="n"/>
      <c r="M148" s="59" t="n"/>
      <c r="N148" s="43" t="n"/>
      <c r="O148" s="43" t="n"/>
    </row>
    <row r="149">
      <c r="A149" s="93" t="n"/>
      <c r="B149" s="93" t="n"/>
      <c r="C149" s="93" t="n"/>
      <c r="D149" s="93" t="n"/>
      <c r="E149" s="93" t="n"/>
      <c r="F149" s="93" t="n"/>
      <c r="G149" s="93" t="n"/>
      <c r="H149" s="93" t="n"/>
      <c r="I149" s="93" t="n"/>
      <c r="J149" s="43" t="n"/>
      <c r="K149" s="43" t="n"/>
      <c r="L149" s="43" t="n"/>
      <c r="M149" s="59" t="n"/>
      <c r="N149" s="43" t="n"/>
      <c r="O149" s="43" t="n"/>
    </row>
    <row r="150">
      <c r="A150" s="93" t="n"/>
      <c r="B150" s="93" t="n"/>
      <c r="C150" s="93" t="n"/>
      <c r="D150" s="93" t="n"/>
      <c r="E150" s="93" t="n"/>
      <c r="F150" s="93" t="n"/>
      <c r="G150" s="93" t="n"/>
      <c r="H150" s="93" t="n"/>
      <c r="I150" s="93" t="n"/>
      <c r="J150" s="43" t="n"/>
      <c r="K150" s="43" t="n"/>
      <c r="L150" s="43" t="n"/>
      <c r="M150" s="59" t="n"/>
      <c r="N150" s="43" t="n"/>
      <c r="O150" s="43" t="n"/>
    </row>
    <row r="151">
      <c r="A151" s="93" t="n"/>
      <c r="B151" s="93" t="n"/>
      <c r="C151" s="93" t="n"/>
      <c r="D151" s="93" t="n"/>
      <c r="E151" s="93" t="n"/>
      <c r="F151" s="93" t="n"/>
      <c r="G151" s="93" t="n"/>
      <c r="H151" s="93" t="n"/>
      <c r="I151" s="93" t="n"/>
      <c r="J151" s="43" t="n"/>
      <c r="K151" s="43" t="n"/>
      <c r="L151" s="43" t="n"/>
      <c r="M151" s="59" t="n"/>
      <c r="N151" s="43" t="n"/>
      <c r="O151" s="43" t="n"/>
    </row>
    <row r="152">
      <c r="A152" s="93" t="n"/>
      <c r="B152" s="93" t="n"/>
      <c r="C152" s="93" t="n"/>
      <c r="D152" s="93" t="n"/>
      <c r="E152" s="93" t="n"/>
      <c r="F152" s="93" t="n"/>
      <c r="G152" s="93" t="n"/>
      <c r="H152" s="93" t="n"/>
      <c r="I152" s="93" t="n"/>
      <c r="J152" s="43" t="n"/>
      <c r="K152" s="43" t="n"/>
      <c r="L152" s="43" t="n"/>
      <c r="M152" s="59" t="n"/>
      <c r="N152" s="43" t="n"/>
      <c r="O152" s="43" t="n"/>
    </row>
    <row r="153">
      <c r="A153" s="93" t="n"/>
      <c r="B153" s="93" t="n"/>
      <c r="C153" s="93" t="n"/>
      <c r="D153" s="93" t="n"/>
      <c r="E153" s="93" t="n"/>
      <c r="F153" s="93" t="n"/>
      <c r="G153" s="93" t="n"/>
      <c r="H153" s="93" t="n"/>
      <c r="I153" s="93" t="n"/>
      <c r="J153" s="43" t="n"/>
      <c r="K153" s="43" t="n"/>
      <c r="L153" s="43" t="n"/>
      <c r="M153" s="59" t="n"/>
      <c r="N153" s="43" t="n"/>
      <c r="O153" s="43" t="n"/>
    </row>
    <row r="154">
      <c r="A154" s="93" t="n"/>
      <c r="B154" s="93" t="n"/>
      <c r="C154" s="93" t="n"/>
      <c r="D154" s="93" t="n"/>
      <c r="E154" s="93" t="n"/>
      <c r="F154" s="93" t="n"/>
      <c r="G154" s="93" t="n"/>
      <c r="H154" s="93" t="n"/>
      <c r="I154" s="93" t="n"/>
      <c r="J154" s="43" t="n"/>
      <c r="K154" s="43" t="n"/>
      <c r="L154" s="43" t="n"/>
      <c r="M154" s="59" t="n"/>
      <c r="N154" s="43" t="n"/>
      <c r="O154" s="43" t="n"/>
    </row>
    <row r="155">
      <c r="A155" s="93" t="n"/>
      <c r="B155" s="93" t="n"/>
      <c r="C155" s="93" t="n"/>
      <c r="D155" s="93" t="n"/>
      <c r="E155" s="93" t="n"/>
      <c r="F155" s="93" t="n"/>
      <c r="G155" s="93" t="n"/>
      <c r="H155" s="93" t="n"/>
      <c r="I155" s="93" t="n"/>
      <c r="J155" s="43" t="n"/>
      <c r="K155" s="43" t="n"/>
      <c r="L155" s="43" t="n"/>
      <c r="M155" s="59" t="n"/>
      <c r="N155" s="43" t="n"/>
      <c r="O155" s="43" t="n"/>
    </row>
    <row r="156">
      <c r="A156" s="93" t="n"/>
      <c r="B156" s="93" t="n"/>
      <c r="C156" s="93" t="n"/>
      <c r="D156" s="93" t="n"/>
      <c r="E156" s="93" t="n"/>
      <c r="F156" s="93" t="n"/>
      <c r="G156" s="93" t="n"/>
      <c r="H156" s="93" t="n"/>
      <c r="I156" s="93" t="n"/>
      <c r="J156" s="43" t="n"/>
      <c r="K156" s="43" t="n"/>
      <c r="L156" s="43" t="n"/>
      <c r="M156" s="59" t="n"/>
      <c r="N156" s="43" t="n"/>
      <c r="O156" s="43" t="n"/>
    </row>
    <row r="157">
      <c r="A157" s="93" t="n"/>
      <c r="B157" s="93" t="n"/>
      <c r="C157" s="93" t="n"/>
      <c r="D157" s="93" t="n"/>
      <c r="E157" s="93" t="n"/>
      <c r="F157" s="93" t="n"/>
      <c r="G157" s="93" t="n"/>
      <c r="H157" s="93" t="n"/>
      <c r="I157" s="93" t="n"/>
      <c r="J157" s="43" t="n"/>
      <c r="K157" s="43" t="n"/>
      <c r="L157" s="43" t="n"/>
      <c r="M157" s="59" t="n"/>
      <c r="N157" s="43" t="n"/>
      <c r="O157" s="43" t="n"/>
    </row>
    <row r="158">
      <c r="A158" s="93" t="n"/>
      <c r="B158" s="93" t="n"/>
      <c r="C158" s="93" t="n"/>
      <c r="D158" s="93" t="n"/>
      <c r="E158" s="93" t="n"/>
      <c r="F158" s="93" t="n"/>
      <c r="G158" s="93" t="n"/>
      <c r="H158" s="93" t="n"/>
      <c r="I158" s="93" t="n"/>
      <c r="J158" s="43" t="n"/>
      <c r="K158" s="43" t="n"/>
      <c r="L158" s="43" t="n"/>
      <c r="M158" s="59" t="n"/>
      <c r="N158" s="43" t="n"/>
      <c r="O158" s="43" t="n"/>
    </row>
    <row r="159">
      <c r="A159" s="93" t="n"/>
      <c r="B159" s="93" t="n"/>
      <c r="C159" s="93" t="n"/>
      <c r="D159" s="93" t="n"/>
      <c r="E159" s="93" t="n"/>
      <c r="F159" s="93" t="n"/>
      <c r="G159" s="93" t="n"/>
      <c r="H159" s="93" t="n"/>
      <c r="I159" s="93" t="n"/>
      <c r="J159" s="43" t="n"/>
      <c r="K159" s="43" t="n"/>
      <c r="L159" s="43" t="n"/>
      <c r="M159" s="59" t="n"/>
      <c r="N159" s="43" t="n"/>
      <c r="O159" s="43" t="n"/>
    </row>
    <row r="160">
      <c r="A160" s="93" t="n"/>
      <c r="B160" s="93" t="n"/>
      <c r="C160" s="93" t="n"/>
      <c r="D160" s="93" t="n"/>
      <c r="E160" s="93" t="n"/>
      <c r="F160" s="93" t="n"/>
      <c r="G160" s="93" t="n"/>
      <c r="H160" s="93" t="n"/>
      <c r="I160" s="93" t="n"/>
      <c r="J160" s="43" t="n"/>
      <c r="K160" s="43" t="n"/>
      <c r="L160" s="43" t="n"/>
      <c r="M160" s="59" t="n"/>
      <c r="N160" s="43" t="n"/>
      <c r="O160" s="43" t="n"/>
    </row>
    <row r="161">
      <c r="A161" s="93" t="n"/>
      <c r="B161" s="93" t="n"/>
      <c r="C161" s="93" t="n"/>
      <c r="D161" s="93" t="n"/>
      <c r="E161" s="93" t="n"/>
      <c r="F161" s="93" t="n"/>
      <c r="G161" s="93" t="n"/>
      <c r="H161" s="93" t="n"/>
      <c r="I161" s="93" t="n"/>
      <c r="J161" s="43" t="n"/>
      <c r="K161" s="43" t="n"/>
      <c r="L161" s="43" t="n"/>
      <c r="M161" s="59" t="n"/>
      <c r="N161" s="43" t="n"/>
      <c r="O161" s="43" t="n"/>
    </row>
    <row r="162">
      <c r="A162" s="93" t="n"/>
      <c r="B162" s="93" t="n"/>
      <c r="C162" s="93" t="n"/>
      <c r="D162" s="93" t="n"/>
      <c r="E162" s="93" t="n"/>
      <c r="F162" s="93" t="n"/>
      <c r="G162" s="93" t="n"/>
      <c r="H162" s="93" t="n"/>
      <c r="I162" s="93" t="n"/>
      <c r="J162" s="43" t="n"/>
      <c r="K162" s="43" t="n"/>
      <c r="L162" s="43" t="n"/>
      <c r="M162" s="59" t="n"/>
      <c r="N162" s="43" t="n"/>
      <c r="O162" s="43" t="n"/>
    </row>
    <row r="163">
      <c r="A163" s="93" t="n"/>
      <c r="B163" s="93" t="n"/>
      <c r="C163" s="93" t="n"/>
      <c r="D163" s="93" t="n"/>
      <c r="E163" s="93" t="n"/>
      <c r="F163" s="93" t="n"/>
      <c r="G163" s="93" t="n"/>
      <c r="H163" s="93" t="n"/>
      <c r="I163" s="93" t="n"/>
      <c r="J163" s="43" t="n"/>
      <c r="K163" s="43" t="n"/>
      <c r="L163" s="43" t="n"/>
      <c r="M163" s="59" t="n"/>
      <c r="N163" s="43" t="n"/>
      <c r="O163" s="43" t="n"/>
    </row>
    <row r="164">
      <c r="A164" s="93" t="n"/>
      <c r="B164" s="93" t="n"/>
      <c r="C164" s="93" t="n"/>
      <c r="D164" s="93" t="n"/>
      <c r="E164" s="93" t="n"/>
      <c r="F164" s="93" t="n"/>
      <c r="G164" s="93" t="n"/>
      <c r="H164" s="93" t="n"/>
      <c r="I164" s="93" t="n"/>
      <c r="J164" s="43" t="n"/>
      <c r="K164" s="43" t="n"/>
      <c r="L164" s="43" t="n"/>
      <c r="M164" s="59" t="n"/>
      <c r="N164" s="43" t="n"/>
      <c r="O164" s="43" t="n"/>
    </row>
    <row r="165">
      <c r="A165" s="93" t="n"/>
      <c r="B165" s="93" t="n"/>
      <c r="C165" s="93" t="n"/>
      <c r="D165" s="93" t="n"/>
      <c r="E165" s="93" t="n"/>
      <c r="F165" s="93" t="n"/>
      <c r="G165" s="93" t="n"/>
      <c r="H165" s="93" t="n"/>
      <c r="I165" s="93" t="n"/>
      <c r="J165" s="43" t="n"/>
      <c r="K165" s="43" t="n"/>
      <c r="L165" s="43" t="n"/>
      <c r="M165" s="59" t="n"/>
      <c r="N165" s="43" t="n"/>
      <c r="O165" s="43" t="n"/>
    </row>
    <row r="166">
      <c r="A166" s="93" t="n"/>
      <c r="B166" s="93" t="n"/>
      <c r="C166" s="93" t="n"/>
      <c r="D166" s="93" t="n"/>
      <c r="E166" s="93" t="n"/>
      <c r="F166" s="93" t="n"/>
      <c r="G166" s="93" t="n"/>
      <c r="H166" s="93" t="n"/>
      <c r="I166" s="93" t="n"/>
      <c r="J166" s="43" t="n"/>
      <c r="K166" s="43" t="n"/>
      <c r="L166" s="43" t="n"/>
      <c r="M166" s="59" t="n"/>
      <c r="N166" s="43" t="n"/>
      <c r="O166" s="43" t="n"/>
    </row>
    <row r="167">
      <c r="A167" s="93" t="n"/>
      <c r="B167" s="93" t="n"/>
      <c r="C167" s="93" t="n"/>
      <c r="D167" s="93" t="n"/>
      <c r="E167" s="93" t="n"/>
      <c r="F167" s="93" t="n"/>
      <c r="G167" s="93" t="n"/>
      <c r="H167" s="93" t="n"/>
      <c r="I167" s="93" t="n"/>
      <c r="J167" s="43" t="n"/>
      <c r="K167" s="43" t="n"/>
      <c r="L167" s="43" t="n"/>
      <c r="M167" s="59" t="n"/>
      <c r="N167" s="43" t="n"/>
      <c r="O167" s="43" t="n"/>
    </row>
    <row r="168">
      <c r="A168" s="93" t="n"/>
      <c r="B168" s="93" t="n"/>
      <c r="C168" s="93" t="n"/>
      <c r="D168" s="93" t="n"/>
      <c r="E168" s="93" t="n"/>
      <c r="F168" s="93" t="n"/>
      <c r="G168" s="93" t="n"/>
      <c r="H168" s="93" t="n"/>
      <c r="I168" s="93" t="n"/>
      <c r="J168" s="43" t="n"/>
      <c r="K168" s="43" t="n"/>
      <c r="L168" s="43" t="n"/>
      <c r="M168" s="59" t="n"/>
      <c r="N168" s="43" t="n"/>
      <c r="O168" s="43" t="n"/>
    </row>
    <row r="169">
      <c r="A169" s="93" t="n"/>
      <c r="B169" s="93" t="n"/>
      <c r="C169" s="93" t="n"/>
      <c r="D169" s="93" t="n"/>
      <c r="E169" s="93" t="n"/>
      <c r="F169" s="93" t="n"/>
      <c r="G169" s="93" t="n"/>
      <c r="H169" s="93" t="n"/>
      <c r="I169" s="93" t="n"/>
      <c r="J169" s="43" t="n"/>
      <c r="K169" s="43" t="n"/>
      <c r="L169" s="43" t="n"/>
      <c r="M169" s="59" t="n"/>
      <c r="N169" s="43" t="n"/>
      <c r="O169" s="43" t="n"/>
    </row>
    <row r="170">
      <c r="A170" s="93" t="n"/>
      <c r="B170" s="93" t="n"/>
      <c r="C170" s="93" t="n"/>
      <c r="D170" s="93" t="n"/>
      <c r="E170" s="93" t="n"/>
      <c r="F170" s="93" t="n"/>
      <c r="G170" s="93" t="n"/>
      <c r="H170" s="93" t="n"/>
      <c r="I170" s="93" t="n"/>
      <c r="J170" s="43" t="n"/>
      <c r="K170" s="43" t="n"/>
      <c r="L170" s="43" t="n"/>
      <c r="M170" s="59" t="n"/>
      <c r="N170" s="43" t="n"/>
      <c r="O170" s="43" t="n"/>
    </row>
    <row r="171">
      <c r="A171" s="93" t="n"/>
      <c r="B171" s="93" t="n"/>
      <c r="C171" s="93" t="n"/>
      <c r="D171" s="93" t="n"/>
      <c r="E171" s="93" t="n"/>
      <c r="F171" s="93" t="n"/>
      <c r="G171" s="93" t="n"/>
      <c r="H171" s="93" t="n"/>
      <c r="I171" s="93" t="n"/>
      <c r="J171" s="43" t="n"/>
      <c r="K171" s="43" t="n"/>
      <c r="L171" s="43" t="n"/>
      <c r="M171" s="59" t="n"/>
      <c r="N171" s="43" t="n"/>
      <c r="O171" s="43" t="n"/>
    </row>
    <row r="172">
      <c r="A172" s="93" t="n"/>
      <c r="B172" s="93" t="n"/>
      <c r="C172" s="93" t="n"/>
      <c r="D172" s="93" t="n"/>
      <c r="E172" s="93" t="n"/>
      <c r="F172" s="93" t="n"/>
      <c r="G172" s="93" t="n"/>
      <c r="H172" s="93" t="n"/>
      <c r="I172" s="93" t="n"/>
      <c r="J172" s="43" t="n"/>
      <c r="K172" s="43" t="n"/>
      <c r="L172" s="43" t="n"/>
      <c r="M172" s="59" t="n"/>
      <c r="N172" s="43" t="n"/>
      <c r="O172" s="43" t="n"/>
    </row>
    <row r="173">
      <c r="A173" s="93" t="n"/>
      <c r="B173" s="93" t="n"/>
      <c r="C173" s="93" t="n"/>
      <c r="D173" s="93" t="n"/>
      <c r="E173" s="93" t="n"/>
      <c r="F173" s="93" t="n"/>
      <c r="G173" s="93" t="n"/>
      <c r="H173" s="93" t="n"/>
      <c r="I173" s="93" t="n"/>
      <c r="J173" s="43" t="n"/>
      <c r="K173" s="43" t="n"/>
      <c r="L173" s="43" t="n"/>
      <c r="M173" s="59" t="n"/>
      <c r="N173" s="43" t="n"/>
      <c r="O173" s="43" t="n"/>
    </row>
    <row r="174">
      <c r="A174" s="93" t="n"/>
      <c r="B174" s="93" t="n"/>
      <c r="C174" s="93" t="n"/>
      <c r="D174" s="93" t="n"/>
      <c r="E174" s="93" t="n"/>
      <c r="F174" s="93" t="n"/>
      <c r="G174" s="93" t="n"/>
      <c r="H174" s="93" t="n"/>
      <c r="I174" s="93" t="n"/>
      <c r="J174" s="43" t="n"/>
      <c r="K174" s="43" t="n"/>
      <c r="L174" s="43" t="n"/>
      <c r="M174" s="59" t="n"/>
      <c r="N174" s="43" t="n"/>
      <c r="O174" s="43" t="n"/>
    </row>
    <row r="175">
      <c r="A175" s="93" t="n"/>
      <c r="B175" s="93" t="n"/>
      <c r="C175" s="93" t="n"/>
      <c r="D175" s="93" t="n"/>
      <c r="E175" s="93" t="n"/>
      <c r="F175" s="93" t="n"/>
      <c r="G175" s="93" t="n"/>
      <c r="H175" s="93" t="n"/>
      <c r="I175" s="93" t="n"/>
      <c r="J175" s="43" t="n"/>
      <c r="K175" s="43" t="n"/>
      <c r="L175" s="43" t="n"/>
      <c r="M175" s="59" t="n"/>
      <c r="N175" s="43" t="n"/>
      <c r="O175" s="43" t="n"/>
    </row>
    <row r="176">
      <c r="A176" s="93" t="n"/>
      <c r="B176" s="93" t="n"/>
      <c r="C176" s="93" t="n"/>
      <c r="D176" s="93" t="n"/>
      <c r="E176" s="93" t="n"/>
      <c r="F176" s="93" t="n"/>
      <c r="G176" s="93" t="n"/>
      <c r="H176" s="93" t="n"/>
      <c r="I176" s="93" t="n"/>
      <c r="J176" s="43" t="n"/>
      <c r="K176" s="43" t="n"/>
      <c r="L176" s="43" t="n"/>
      <c r="M176" s="59" t="n"/>
      <c r="N176" s="43" t="n"/>
      <c r="O176" s="43" t="n"/>
    </row>
    <row r="177">
      <c r="A177" s="93" t="n"/>
      <c r="B177" s="93" t="n"/>
      <c r="C177" s="93" t="n"/>
      <c r="D177" s="93" t="n"/>
      <c r="E177" s="93" t="n"/>
      <c r="F177" s="93" t="n"/>
      <c r="G177" s="93" t="n"/>
      <c r="H177" s="93" t="n"/>
      <c r="I177" s="93" t="n"/>
      <c r="J177" s="43" t="n"/>
      <c r="K177" s="43" t="n"/>
      <c r="L177" s="43" t="n"/>
      <c r="M177" s="59" t="n"/>
      <c r="N177" s="43" t="n"/>
      <c r="O177" s="43" t="n"/>
    </row>
    <row r="178">
      <c r="A178" s="93" t="n"/>
      <c r="B178" s="93" t="n"/>
      <c r="C178" s="93" t="n"/>
      <c r="D178" s="93" t="n"/>
      <c r="E178" s="93" t="n"/>
      <c r="F178" s="93" t="n"/>
      <c r="G178" s="93" t="n"/>
      <c r="H178" s="93" t="n"/>
      <c r="I178" s="93" t="n"/>
      <c r="J178" s="43" t="n"/>
      <c r="K178" s="43" t="n"/>
      <c r="L178" s="43" t="n"/>
      <c r="M178" s="59" t="n"/>
      <c r="N178" s="43" t="n"/>
      <c r="O178" s="43" t="n"/>
    </row>
    <row r="179">
      <c r="A179" s="93" t="n"/>
      <c r="B179" s="93" t="n"/>
      <c r="C179" s="93" t="n"/>
      <c r="D179" s="93" t="n"/>
      <c r="E179" s="93" t="n"/>
      <c r="F179" s="93" t="n"/>
      <c r="G179" s="93" t="n"/>
      <c r="H179" s="93" t="n"/>
      <c r="I179" s="93" t="n"/>
      <c r="J179" s="43" t="n"/>
      <c r="K179" s="43" t="n"/>
      <c r="L179" s="43" t="n"/>
      <c r="M179" s="59" t="n"/>
      <c r="N179" s="43" t="n"/>
      <c r="O179" s="43" t="n"/>
    </row>
    <row r="180">
      <c r="A180" s="93" t="n"/>
      <c r="B180" s="93" t="n"/>
      <c r="C180" s="93" t="n"/>
      <c r="D180" s="93" t="n"/>
      <c r="E180" s="93" t="n"/>
      <c r="F180" s="93" t="n"/>
      <c r="G180" s="93" t="n"/>
      <c r="H180" s="93" t="n"/>
      <c r="I180" s="93" t="n"/>
      <c r="J180" s="43" t="n"/>
      <c r="K180" s="43" t="n"/>
      <c r="L180" s="43" t="n"/>
      <c r="M180" s="59" t="n"/>
      <c r="N180" s="43" t="n"/>
      <c r="O180" s="43" t="n"/>
    </row>
    <row r="181">
      <c r="A181" s="93" t="n"/>
      <c r="B181" s="93" t="n"/>
      <c r="C181" s="93" t="n"/>
      <c r="D181" s="93" t="n"/>
      <c r="E181" s="93" t="n"/>
      <c r="F181" s="93" t="n"/>
      <c r="G181" s="93" t="n"/>
      <c r="H181" s="93" t="n"/>
      <c r="I181" s="93" t="n"/>
      <c r="J181" s="43" t="n"/>
      <c r="K181" s="43" t="n"/>
      <c r="L181" s="43" t="n"/>
      <c r="M181" s="59" t="n"/>
      <c r="N181" s="43" t="n"/>
      <c r="O181" s="43" t="n"/>
    </row>
    <row r="182">
      <c r="A182" s="93" t="n"/>
      <c r="B182" s="93" t="n"/>
      <c r="C182" s="93" t="n"/>
      <c r="D182" s="93" t="n"/>
      <c r="E182" s="93" t="n"/>
      <c r="F182" s="93" t="n"/>
      <c r="G182" s="93" t="n"/>
      <c r="H182" s="93" t="n"/>
      <c r="I182" s="93" t="n"/>
      <c r="J182" s="43" t="n"/>
      <c r="K182" s="43" t="n"/>
      <c r="L182" s="43" t="n"/>
      <c r="M182" s="59" t="n"/>
      <c r="N182" s="43" t="n"/>
      <c r="O182" s="43" t="n"/>
    </row>
    <row r="183">
      <c r="A183" s="93" t="n"/>
      <c r="B183" s="93" t="n"/>
      <c r="C183" s="93" t="n"/>
      <c r="D183" s="93" t="n"/>
      <c r="E183" s="93" t="n"/>
      <c r="F183" s="93" t="n"/>
      <c r="G183" s="93" t="n"/>
      <c r="H183" s="93" t="n"/>
      <c r="I183" s="93" t="n"/>
      <c r="J183" s="43" t="n"/>
      <c r="K183" s="43" t="n"/>
      <c r="L183" s="43" t="n"/>
      <c r="M183" s="59" t="n"/>
      <c r="N183" s="43" t="n"/>
      <c r="O183" s="43" t="n"/>
    </row>
    <row r="184">
      <c r="A184" s="93" t="n"/>
      <c r="B184" s="93" t="n"/>
      <c r="C184" s="93" t="n"/>
      <c r="D184" s="93" t="n"/>
      <c r="E184" s="93" t="n"/>
      <c r="F184" s="93" t="n"/>
      <c r="G184" s="93" t="n"/>
      <c r="H184" s="93" t="n"/>
      <c r="I184" s="93" t="n"/>
      <c r="J184" s="43" t="n"/>
      <c r="K184" s="43" t="n"/>
      <c r="L184" s="43" t="n"/>
      <c r="M184" s="59" t="n"/>
      <c r="N184" s="43" t="n"/>
      <c r="O184" s="43" t="n"/>
    </row>
    <row r="185">
      <c r="A185" s="93" t="n"/>
      <c r="B185" s="93" t="n"/>
      <c r="C185" s="93" t="n"/>
      <c r="D185" s="93" t="n"/>
      <c r="E185" s="93" t="n"/>
      <c r="F185" s="93" t="n"/>
      <c r="G185" s="93" t="n"/>
      <c r="H185" s="93" t="n"/>
      <c r="I185" s="93" t="n"/>
      <c r="J185" s="43" t="n"/>
      <c r="K185" s="43" t="n"/>
      <c r="L185" s="43" t="n"/>
      <c r="M185" s="59" t="n"/>
      <c r="N185" s="43" t="n"/>
      <c r="O185" s="43" t="n"/>
    </row>
    <row r="186">
      <c r="A186" s="93" t="n"/>
      <c r="B186" s="93" t="n"/>
      <c r="C186" s="93" t="n"/>
      <c r="D186" s="93" t="n"/>
      <c r="E186" s="93" t="n"/>
      <c r="F186" s="93" t="n"/>
      <c r="G186" s="93" t="n"/>
      <c r="H186" s="93" t="n"/>
      <c r="I186" s="93" t="n"/>
      <c r="J186" s="43" t="n"/>
      <c r="K186" s="43" t="n"/>
      <c r="L186" s="43" t="n"/>
      <c r="M186" s="59" t="n"/>
      <c r="N186" s="43" t="n"/>
      <c r="O186" s="43" t="n"/>
    </row>
    <row r="187">
      <c r="A187" s="93" t="n"/>
      <c r="B187" s="93" t="n"/>
      <c r="C187" s="93" t="n"/>
      <c r="D187" s="93" t="n"/>
      <c r="E187" s="93" t="n"/>
      <c r="F187" s="93" t="n"/>
      <c r="G187" s="93" t="n"/>
      <c r="H187" s="93" t="n"/>
      <c r="I187" s="93" t="n"/>
      <c r="J187" s="43" t="n"/>
      <c r="K187" s="43" t="n"/>
      <c r="L187" s="43" t="n"/>
      <c r="M187" s="59" t="n"/>
      <c r="N187" s="43" t="n"/>
      <c r="O187" s="43" t="n"/>
    </row>
    <row r="188">
      <c r="A188" s="93" t="n"/>
      <c r="B188" s="93" t="n"/>
      <c r="C188" s="93" t="n"/>
      <c r="D188" s="93" t="n"/>
      <c r="E188" s="93" t="n"/>
      <c r="F188" s="93" t="n"/>
      <c r="G188" s="93" t="n"/>
      <c r="H188" s="93" t="n"/>
      <c r="I188" s="93" t="n"/>
      <c r="J188" s="43" t="n"/>
      <c r="K188" s="43" t="n"/>
      <c r="L188" s="43" t="n"/>
      <c r="M188" s="59" t="n"/>
      <c r="N188" s="43" t="n"/>
      <c r="O188" s="43" t="n"/>
    </row>
    <row r="189">
      <c r="A189" s="93" t="n"/>
      <c r="B189" s="93" t="n"/>
      <c r="C189" s="93" t="n"/>
      <c r="D189" s="93" t="n"/>
      <c r="E189" s="93" t="n"/>
      <c r="F189" s="93" t="n"/>
      <c r="G189" s="93" t="n"/>
      <c r="H189" s="93" t="n"/>
      <c r="I189" s="93" t="n"/>
      <c r="J189" s="43" t="n"/>
      <c r="K189" s="43" t="n"/>
      <c r="L189" s="43" t="n"/>
      <c r="M189" s="59" t="n"/>
      <c r="N189" s="43" t="n"/>
      <c r="O189" s="43" t="n"/>
    </row>
    <row r="190">
      <c r="A190" s="93" t="n"/>
      <c r="B190" s="93" t="n"/>
      <c r="C190" s="93" t="n"/>
      <c r="D190" s="93" t="n"/>
      <c r="E190" s="93" t="n"/>
      <c r="F190" s="93" t="n"/>
      <c r="G190" s="93" t="n"/>
      <c r="H190" s="93" t="n"/>
      <c r="I190" s="93" t="n"/>
      <c r="J190" s="43" t="n"/>
      <c r="K190" s="43" t="n"/>
      <c r="L190" s="43" t="n"/>
      <c r="M190" s="59" t="n"/>
      <c r="N190" s="43" t="n"/>
      <c r="O190" s="43" t="n"/>
    </row>
    <row r="191">
      <c r="A191" s="93" t="n"/>
      <c r="B191" s="93" t="n"/>
      <c r="C191" s="93" t="n"/>
      <c r="D191" s="93" t="n"/>
      <c r="E191" s="93" t="n"/>
      <c r="F191" s="93" t="n"/>
      <c r="G191" s="93" t="n"/>
      <c r="H191" s="93" t="n"/>
      <c r="I191" s="93" t="n"/>
      <c r="J191" s="43" t="n"/>
      <c r="K191" s="43" t="n"/>
      <c r="L191" s="43" t="n"/>
      <c r="M191" s="59" t="n"/>
      <c r="N191" s="43" t="n"/>
      <c r="O191" s="43" t="n"/>
    </row>
    <row r="192">
      <c r="A192" s="93" t="n"/>
      <c r="B192" s="93" t="n"/>
      <c r="C192" s="93" t="n"/>
      <c r="D192" s="93" t="n"/>
      <c r="E192" s="93" t="n"/>
      <c r="F192" s="93" t="n"/>
      <c r="G192" s="93" t="n"/>
      <c r="H192" s="93" t="n"/>
      <c r="I192" s="93" t="n"/>
      <c r="J192" s="43" t="n"/>
      <c r="K192" s="43" t="n"/>
      <c r="L192" s="43" t="n"/>
      <c r="M192" s="59" t="n"/>
      <c r="N192" s="43" t="n"/>
      <c r="O192" s="43" t="n"/>
    </row>
    <row r="193">
      <c r="A193" s="93" t="n"/>
      <c r="B193" s="93" t="n"/>
      <c r="C193" s="93" t="n"/>
      <c r="D193" s="93" t="n"/>
      <c r="E193" s="93" t="n"/>
      <c r="F193" s="93" t="n"/>
      <c r="G193" s="93" t="n"/>
      <c r="H193" s="93" t="n"/>
      <c r="I193" s="93" t="n"/>
      <c r="J193" s="43" t="n"/>
      <c r="K193" s="43" t="n"/>
      <c r="L193" s="43" t="n"/>
      <c r="M193" s="59" t="n"/>
      <c r="N193" s="43" t="n"/>
      <c r="O193" s="43" t="n"/>
    </row>
    <row r="194">
      <c r="A194" s="93" t="n"/>
      <c r="B194" s="93" t="n"/>
      <c r="C194" s="93" t="n"/>
      <c r="D194" s="93" t="n"/>
      <c r="E194" s="93" t="n"/>
      <c r="F194" s="93" t="n"/>
      <c r="G194" s="93" t="n"/>
      <c r="H194" s="93" t="n"/>
      <c r="I194" s="93" t="n"/>
      <c r="J194" s="43" t="n"/>
      <c r="K194" s="43" t="n"/>
      <c r="L194" s="43" t="n"/>
      <c r="M194" s="59" t="n"/>
      <c r="N194" s="43" t="n"/>
      <c r="O194" s="43" t="n"/>
    </row>
    <row r="195">
      <c r="A195" s="93" t="n"/>
      <c r="B195" s="93" t="n"/>
      <c r="C195" s="93" t="n"/>
      <c r="D195" s="93" t="n"/>
      <c r="E195" s="93" t="n"/>
      <c r="F195" s="93" t="n"/>
      <c r="G195" s="93" t="n"/>
      <c r="H195" s="93" t="n"/>
      <c r="I195" s="93" t="n"/>
      <c r="J195" s="43" t="n"/>
      <c r="K195" s="43" t="n"/>
      <c r="L195" s="43" t="n"/>
      <c r="M195" s="59" t="n"/>
      <c r="N195" s="43" t="n"/>
      <c r="O195" s="43" t="n"/>
    </row>
    <row r="196">
      <c r="A196" s="93" t="n"/>
      <c r="B196" s="93" t="n"/>
      <c r="C196" s="93" t="n"/>
      <c r="D196" s="93" t="n"/>
      <c r="E196" s="93" t="n"/>
      <c r="F196" s="93" t="n"/>
      <c r="G196" s="93" t="n"/>
      <c r="H196" s="93" t="n"/>
      <c r="I196" s="93" t="n"/>
      <c r="J196" s="43" t="n"/>
      <c r="K196" s="43" t="n"/>
      <c r="L196" s="43" t="n"/>
      <c r="M196" s="59" t="n"/>
      <c r="N196" s="43" t="n"/>
      <c r="O196" s="43" t="n"/>
    </row>
    <row r="197">
      <c r="A197" s="93" t="n"/>
      <c r="B197" s="93" t="n"/>
      <c r="C197" s="93" t="n"/>
      <c r="D197" s="93" t="n"/>
      <c r="E197" s="93" t="n"/>
      <c r="F197" s="93" t="n"/>
      <c r="G197" s="93" t="n"/>
      <c r="H197" s="93" t="n"/>
      <c r="I197" s="93" t="n"/>
      <c r="J197" s="43" t="n"/>
      <c r="K197" s="43" t="n"/>
      <c r="L197" s="43" t="n"/>
      <c r="M197" s="59" t="n"/>
      <c r="N197" s="43" t="n"/>
      <c r="O197" s="43" t="n"/>
    </row>
    <row r="198">
      <c r="A198" s="93" t="n"/>
      <c r="B198" s="93" t="n"/>
      <c r="C198" s="93" t="n"/>
      <c r="D198" s="93" t="n"/>
      <c r="E198" s="93" t="n"/>
      <c r="F198" s="93" t="n"/>
      <c r="G198" s="93" t="n"/>
      <c r="H198" s="93" t="n"/>
      <c r="I198" s="93" t="n"/>
      <c r="J198" s="43" t="n"/>
      <c r="K198" s="43" t="n"/>
      <c r="L198" s="43" t="n"/>
      <c r="M198" s="59" t="n"/>
      <c r="N198" s="43" t="n"/>
      <c r="O198" s="43" t="n"/>
    </row>
    <row r="199">
      <c r="A199" s="93" t="n"/>
      <c r="B199" s="93" t="n"/>
      <c r="C199" s="93" t="n"/>
      <c r="D199" s="93" t="n"/>
      <c r="E199" s="93" t="n"/>
      <c r="F199" s="93" t="n"/>
      <c r="G199" s="93" t="n"/>
      <c r="H199" s="93" t="n"/>
      <c r="I199" s="93" t="n"/>
      <c r="J199" s="43" t="n"/>
      <c r="K199" s="43" t="n"/>
      <c r="L199" s="43" t="n"/>
      <c r="M199" s="59" t="n"/>
      <c r="N199" s="43" t="n"/>
      <c r="O199" s="43" t="n"/>
    </row>
    <row r="200">
      <c r="A200" s="93" t="n"/>
      <c r="B200" s="93" t="n"/>
      <c r="C200" s="93" t="n"/>
      <c r="D200" s="93" t="n"/>
      <c r="E200" s="93" t="n"/>
      <c r="F200" s="93" t="n"/>
      <c r="G200" s="93" t="n"/>
      <c r="H200" s="93" t="n"/>
      <c r="I200" s="93" t="n"/>
      <c r="J200" s="43" t="n"/>
      <c r="K200" s="43" t="n"/>
      <c r="L200" s="43" t="n"/>
      <c r="M200" s="59" t="n"/>
      <c r="N200" s="43" t="n"/>
      <c r="O200" s="43" t="n"/>
    </row>
    <row r="201">
      <c r="A201" s="93" t="n"/>
      <c r="B201" s="93" t="n"/>
      <c r="C201" s="93" t="n"/>
      <c r="D201" s="93" t="n"/>
      <c r="E201" s="93" t="n"/>
      <c r="F201" s="93" t="n"/>
      <c r="G201" s="93" t="n"/>
      <c r="H201" s="93" t="n"/>
      <c r="I201" s="93" t="n"/>
      <c r="J201" s="43" t="n"/>
      <c r="K201" s="43" t="n"/>
      <c r="L201" s="43" t="n"/>
      <c r="M201" s="59" t="n"/>
      <c r="N201" s="43" t="n"/>
      <c r="O201" s="43" t="n"/>
    </row>
    <row r="202">
      <c r="A202" s="93" t="n"/>
      <c r="B202" s="93" t="n"/>
      <c r="C202" s="93" t="n"/>
      <c r="D202" s="93" t="n"/>
      <c r="E202" s="93" t="n"/>
      <c r="F202" s="93" t="n"/>
      <c r="G202" s="93" t="n"/>
      <c r="H202" s="93" t="n"/>
      <c r="I202" s="93" t="n"/>
      <c r="J202" s="43" t="n"/>
      <c r="K202" s="43" t="n"/>
      <c r="L202" s="43" t="n"/>
      <c r="M202" s="59" t="n"/>
      <c r="N202" s="43" t="n"/>
      <c r="O202" s="43" t="n"/>
    </row>
    <row r="203">
      <c r="A203" s="93" t="n"/>
      <c r="B203" s="93" t="n"/>
      <c r="C203" s="93" t="n"/>
      <c r="D203" s="93" t="n"/>
      <c r="E203" s="93" t="n"/>
      <c r="F203" s="93" t="n"/>
      <c r="G203" s="93" t="n"/>
      <c r="H203" s="93" t="n"/>
      <c r="I203" s="93" t="n"/>
      <c r="J203" s="43" t="n"/>
      <c r="K203" s="43" t="n"/>
      <c r="L203" s="43" t="n"/>
      <c r="M203" s="59" t="n"/>
      <c r="N203" s="43" t="n"/>
      <c r="O203" s="43" t="n"/>
    </row>
    <row r="204">
      <c r="A204" s="93" t="n"/>
      <c r="B204" s="93" t="n"/>
      <c r="C204" s="93" t="n"/>
      <c r="D204" s="93" t="n"/>
      <c r="E204" s="93" t="n"/>
      <c r="F204" s="93" t="n"/>
      <c r="G204" s="93" t="n"/>
      <c r="H204" s="93" t="n"/>
      <c r="I204" s="93" t="n"/>
      <c r="J204" s="43" t="n"/>
      <c r="K204" s="43" t="n"/>
      <c r="L204" s="43" t="n"/>
      <c r="M204" s="59" t="n"/>
      <c r="N204" s="43" t="n"/>
      <c r="O204" s="43" t="n"/>
    </row>
    <row r="205">
      <c r="A205" s="93" t="n"/>
      <c r="B205" s="93" t="n"/>
      <c r="C205" s="93" t="n"/>
      <c r="D205" s="93" t="n"/>
      <c r="E205" s="93" t="n"/>
      <c r="F205" s="93" t="n"/>
      <c r="G205" s="93" t="n"/>
      <c r="H205" s="93" t="n"/>
      <c r="I205" s="93" t="n"/>
      <c r="J205" s="43" t="n"/>
      <c r="K205" s="43" t="n"/>
      <c r="L205" s="43" t="n"/>
      <c r="M205" s="59" t="n"/>
      <c r="N205" s="43" t="n"/>
      <c r="O205" s="43" t="n"/>
    </row>
    <row r="206">
      <c r="A206" s="93" t="n"/>
      <c r="B206" s="93" t="n"/>
      <c r="C206" s="93" t="n"/>
      <c r="D206" s="93" t="n"/>
      <c r="E206" s="93" t="n"/>
      <c r="F206" s="93" t="n"/>
      <c r="G206" s="93" t="n"/>
      <c r="H206" s="93" t="n"/>
      <c r="I206" s="93" t="n"/>
      <c r="J206" s="43" t="n"/>
      <c r="K206" s="43" t="n"/>
      <c r="L206" s="43" t="n"/>
      <c r="M206" s="59" t="n"/>
      <c r="N206" s="43" t="n"/>
      <c r="O206" s="43" t="n"/>
    </row>
    <row r="207">
      <c r="A207" s="93" t="n"/>
      <c r="B207" s="93" t="n"/>
      <c r="C207" s="93" t="n"/>
      <c r="D207" s="93" t="n"/>
      <c r="E207" s="93" t="n"/>
      <c r="F207" s="93" t="n"/>
      <c r="G207" s="93" t="n"/>
      <c r="H207" s="93" t="n"/>
      <c r="I207" s="93" t="n"/>
      <c r="J207" s="43" t="n"/>
      <c r="K207" s="43" t="n"/>
      <c r="L207" s="43" t="n"/>
      <c r="M207" s="59" t="n"/>
      <c r="N207" s="43" t="n"/>
      <c r="O207" s="43" t="n"/>
    </row>
    <row r="208">
      <c r="A208" s="93" t="n"/>
      <c r="B208" s="93" t="n"/>
      <c r="C208" s="93" t="n"/>
      <c r="D208" s="93" t="n"/>
      <c r="E208" s="93" t="n"/>
      <c r="F208" s="93" t="n"/>
      <c r="G208" s="93" t="n"/>
      <c r="H208" s="93" t="n"/>
      <c r="I208" s="93" t="n"/>
      <c r="J208" s="43" t="n"/>
      <c r="K208" s="43" t="n"/>
      <c r="L208" s="43" t="n"/>
      <c r="M208" s="59" t="n"/>
      <c r="N208" s="43" t="n"/>
      <c r="O208" s="43" t="n"/>
    </row>
    <row r="209">
      <c r="A209" s="93" t="n"/>
      <c r="B209" s="93" t="n"/>
      <c r="C209" s="93" t="n"/>
      <c r="D209" s="93" t="n"/>
      <c r="E209" s="93" t="n"/>
      <c r="F209" s="93" t="n"/>
      <c r="G209" s="93" t="n"/>
      <c r="H209" s="93" t="n"/>
      <c r="I209" s="93" t="n"/>
      <c r="J209" s="43" t="n"/>
      <c r="K209" s="43" t="n"/>
      <c r="L209" s="43" t="n"/>
      <c r="M209" s="59" t="n"/>
      <c r="N209" s="43" t="n"/>
      <c r="O209" s="43" t="n"/>
    </row>
    <row r="210">
      <c r="A210" s="93" t="n"/>
      <c r="B210" s="93" t="n"/>
      <c r="C210" s="93" t="n"/>
      <c r="D210" s="93" t="n"/>
      <c r="E210" s="93" t="n"/>
      <c r="F210" s="93" t="n"/>
      <c r="G210" s="93" t="n"/>
      <c r="H210" s="93" t="n"/>
      <c r="I210" s="93" t="n"/>
      <c r="J210" s="43" t="n"/>
      <c r="K210" s="43" t="n"/>
      <c r="L210" s="43" t="n"/>
      <c r="M210" s="59" t="n"/>
      <c r="N210" s="43" t="n"/>
      <c r="O210" s="43" t="n"/>
    </row>
    <row r="211">
      <c r="A211" s="93" t="n"/>
      <c r="B211" s="93" t="n"/>
      <c r="C211" s="93" t="n"/>
      <c r="D211" s="93" t="n"/>
      <c r="E211" s="93" t="n"/>
      <c r="F211" s="93" t="n"/>
      <c r="G211" s="93" t="n"/>
      <c r="H211" s="93" t="n"/>
      <c r="I211" s="93" t="n"/>
      <c r="J211" s="43" t="n"/>
      <c r="K211" s="43" t="n"/>
      <c r="L211" s="43" t="n"/>
      <c r="M211" s="59" t="n"/>
      <c r="N211" s="43" t="n"/>
      <c r="O211" s="43" t="n"/>
    </row>
    <row r="212">
      <c r="A212" s="93" t="n"/>
      <c r="B212" s="93" t="n"/>
      <c r="C212" s="93" t="n"/>
      <c r="D212" s="93" t="n"/>
      <c r="E212" s="93" t="n"/>
      <c r="F212" s="93" t="n"/>
      <c r="G212" s="93" t="n"/>
      <c r="H212" s="93" t="n"/>
      <c r="I212" s="93" t="n"/>
      <c r="J212" s="43" t="n"/>
      <c r="K212" s="43" t="n"/>
      <c r="L212" s="43" t="n"/>
      <c r="M212" s="59" t="n"/>
      <c r="N212" s="43" t="n"/>
      <c r="O212" s="43" t="n"/>
    </row>
    <row r="213">
      <c r="A213" s="93" t="n"/>
      <c r="B213" s="93" t="n"/>
      <c r="C213" s="93" t="n"/>
      <c r="D213" s="93" t="n"/>
      <c r="E213" s="93" t="n"/>
      <c r="F213" s="93" t="n"/>
      <c r="G213" s="93" t="n"/>
      <c r="H213" s="93" t="n"/>
      <c r="I213" s="93" t="n"/>
      <c r="J213" s="43" t="n"/>
      <c r="K213" s="43" t="n"/>
      <c r="L213" s="43" t="n"/>
      <c r="M213" s="59" t="n"/>
      <c r="N213" s="43" t="n"/>
      <c r="O213" s="43" t="n"/>
    </row>
    <row r="214">
      <c r="A214" s="93" t="n"/>
      <c r="B214" s="93" t="n"/>
      <c r="C214" s="93" t="n"/>
      <c r="D214" s="93" t="n"/>
      <c r="E214" s="93" t="n"/>
      <c r="F214" s="93" t="n"/>
      <c r="G214" s="93" t="n"/>
      <c r="H214" s="93" t="n"/>
      <c r="I214" s="93" t="n"/>
      <c r="J214" s="43" t="n"/>
      <c r="K214" s="43" t="n"/>
      <c r="L214" s="43" t="n"/>
      <c r="M214" s="59" t="n"/>
      <c r="N214" s="43" t="n"/>
      <c r="O214" s="43" t="n"/>
    </row>
    <row r="215">
      <c r="A215" s="93" t="n"/>
      <c r="B215" s="93" t="n"/>
      <c r="C215" s="93" t="n"/>
      <c r="D215" s="93" t="n"/>
      <c r="E215" s="93" t="n"/>
      <c r="F215" s="93" t="n"/>
      <c r="G215" s="93" t="n"/>
      <c r="H215" s="93" t="n"/>
      <c r="I215" s="93" t="n"/>
      <c r="J215" s="43" t="n"/>
      <c r="K215" s="43" t="n"/>
      <c r="L215" s="43" t="n"/>
      <c r="M215" s="59" t="n"/>
      <c r="N215" s="43" t="n"/>
      <c r="O215" s="43" t="n"/>
    </row>
    <row r="216">
      <c r="A216" s="93" t="n"/>
      <c r="B216" s="93" t="n"/>
      <c r="C216" s="93" t="n"/>
      <c r="D216" s="93" t="n"/>
      <c r="E216" s="93" t="n"/>
      <c r="F216" s="93" t="n"/>
      <c r="G216" s="93" t="n"/>
      <c r="H216" s="93" t="n"/>
      <c r="I216" s="93" t="n"/>
      <c r="J216" s="43" t="n"/>
      <c r="K216" s="43" t="n"/>
      <c r="L216" s="43" t="n"/>
      <c r="M216" s="59" t="n"/>
      <c r="N216" s="43" t="n"/>
      <c r="O216" s="43" t="n"/>
    </row>
    <row r="217">
      <c r="A217" s="93" t="n"/>
      <c r="B217" s="93" t="n"/>
      <c r="C217" s="93" t="n"/>
      <c r="D217" s="93" t="n"/>
      <c r="E217" s="93" t="n"/>
      <c r="F217" s="93" t="n"/>
      <c r="G217" s="93" t="n"/>
      <c r="H217" s="93" t="n"/>
      <c r="I217" s="93" t="n"/>
      <c r="J217" s="43" t="n"/>
      <c r="K217" s="43" t="n"/>
      <c r="L217" s="43" t="n"/>
      <c r="M217" s="59" t="n"/>
      <c r="N217" s="43" t="n"/>
      <c r="O217" s="43" t="n"/>
    </row>
    <row r="218">
      <c r="A218" s="93" t="n"/>
      <c r="B218" s="93" t="n"/>
      <c r="C218" s="93" t="n"/>
      <c r="D218" s="93" t="n"/>
      <c r="E218" s="93" t="n"/>
      <c r="F218" s="93" t="n"/>
      <c r="G218" s="93" t="n"/>
      <c r="H218" s="93" t="n"/>
      <c r="I218" s="93" t="n"/>
      <c r="J218" s="43" t="n"/>
      <c r="K218" s="43" t="n"/>
      <c r="L218" s="43" t="n"/>
      <c r="M218" s="59" t="n"/>
      <c r="N218" s="43" t="n"/>
      <c r="O218" s="43" t="n"/>
    </row>
    <row r="219">
      <c r="A219" s="93" t="n"/>
      <c r="B219" s="93" t="n"/>
      <c r="C219" s="93" t="n"/>
      <c r="D219" s="93" t="n"/>
      <c r="E219" s="93" t="n"/>
      <c r="F219" s="93" t="n"/>
      <c r="G219" s="93" t="n"/>
      <c r="H219" s="93" t="n"/>
      <c r="I219" s="93" t="n"/>
      <c r="J219" s="43" t="n"/>
      <c r="K219" s="43" t="n"/>
      <c r="L219" s="43" t="n"/>
      <c r="M219" s="59" t="n"/>
      <c r="N219" s="43" t="n"/>
      <c r="O219" s="43" t="n"/>
    </row>
    <row r="220">
      <c r="A220" s="93" t="n"/>
      <c r="B220" s="93" t="n"/>
      <c r="C220" s="93" t="n"/>
      <c r="D220" s="93" t="n"/>
      <c r="E220" s="93" t="n"/>
      <c r="F220" s="93" t="n"/>
      <c r="G220" s="93" t="n"/>
      <c r="H220" s="93" t="n"/>
      <c r="I220" s="93" t="n"/>
      <c r="J220" s="43" t="n"/>
      <c r="K220" s="43" t="n"/>
      <c r="L220" s="43" t="n"/>
      <c r="M220" s="59" t="n"/>
      <c r="N220" s="43" t="n"/>
      <c r="O220" s="43" t="n"/>
    </row>
    <row r="221">
      <c r="A221" s="93" t="n"/>
      <c r="B221" s="93" t="n"/>
      <c r="C221" s="93" t="n"/>
      <c r="D221" s="93" t="n"/>
      <c r="E221" s="93" t="n"/>
      <c r="F221" s="93" t="n"/>
      <c r="G221" s="93" t="n"/>
      <c r="H221" s="93" t="n"/>
      <c r="I221" s="93" t="n"/>
      <c r="J221" s="43" t="n"/>
      <c r="K221" s="43" t="n"/>
      <c r="L221" s="43" t="n"/>
      <c r="M221" s="59" t="n"/>
      <c r="N221" s="43" t="n"/>
      <c r="O221" s="43" t="n"/>
    </row>
    <row r="222">
      <c r="A222" s="93" t="n"/>
      <c r="B222" s="93" t="n"/>
      <c r="C222" s="93" t="n"/>
      <c r="D222" s="93" t="n"/>
      <c r="E222" s="93" t="n"/>
      <c r="F222" s="93" t="n"/>
      <c r="G222" s="93" t="n"/>
      <c r="H222" s="93" t="n"/>
      <c r="I222" s="93" t="n"/>
      <c r="J222" s="43" t="n"/>
      <c r="K222" s="43" t="n"/>
      <c r="L222" s="43" t="n"/>
      <c r="M222" s="59" t="n"/>
      <c r="N222" s="43" t="n"/>
      <c r="O222" s="43" t="n"/>
    </row>
    <row r="223">
      <c r="A223" s="93" t="n"/>
      <c r="B223" s="93" t="n"/>
      <c r="C223" s="93" t="n"/>
      <c r="D223" s="93" t="n"/>
      <c r="E223" s="93" t="n"/>
      <c r="F223" s="93" t="n"/>
      <c r="G223" s="93" t="n"/>
      <c r="H223" s="93" t="n"/>
      <c r="I223" s="93" t="n"/>
      <c r="J223" s="43" t="n"/>
      <c r="K223" s="43" t="n"/>
      <c r="L223" s="43" t="n"/>
      <c r="M223" s="59" t="n"/>
      <c r="N223" s="43" t="n"/>
      <c r="O223" s="43" t="n"/>
    </row>
    <row r="224">
      <c r="A224" s="93" t="n"/>
      <c r="B224" s="93" t="n"/>
      <c r="C224" s="93" t="n"/>
      <c r="D224" s="93" t="n"/>
      <c r="E224" s="93" t="n"/>
      <c r="F224" s="93" t="n"/>
      <c r="G224" s="93" t="n"/>
      <c r="H224" s="93" t="n"/>
      <c r="I224" s="93" t="n"/>
      <c r="J224" s="43" t="n"/>
      <c r="K224" s="43" t="n"/>
      <c r="L224" s="43" t="n"/>
      <c r="M224" s="59" t="n"/>
      <c r="N224" s="43" t="n"/>
      <c r="O224" s="43" t="n"/>
    </row>
    <row r="225">
      <c r="A225" s="93" t="n"/>
      <c r="B225" s="93" t="n"/>
      <c r="C225" s="93" t="n"/>
      <c r="D225" s="93" t="n"/>
      <c r="E225" s="93" t="n"/>
      <c r="F225" s="93" t="n"/>
      <c r="G225" s="93" t="n"/>
      <c r="H225" s="93" t="n"/>
      <c r="I225" s="93" t="n"/>
      <c r="J225" s="43" t="n"/>
      <c r="K225" s="43" t="n"/>
      <c r="L225" s="43" t="n"/>
      <c r="M225" s="59" t="n"/>
      <c r="N225" s="43" t="n"/>
      <c r="O225" s="43" t="n"/>
    </row>
    <row r="226">
      <c r="A226" s="93" t="n"/>
      <c r="B226" s="93" t="n"/>
      <c r="C226" s="93" t="n"/>
      <c r="D226" s="93" t="n"/>
      <c r="E226" s="93" t="n"/>
      <c r="F226" s="93" t="n"/>
      <c r="G226" s="93" t="n"/>
      <c r="H226" s="93" t="n"/>
      <c r="I226" s="93" t="n"/>
      <c r="J226" s="43" t="n"/>
      <c r="K226" s="43" t="n"/>
      <c r="L226" s="43" t="n"/>
      <c r="M226" s="59" t="n"/>
      <c r="N226" s="43" t="n"/>
      <c r="O226" s="43" t="n"/>
    </row>
    <row r="227">
      <c r="A227" s="93" t="n"/>
      <c r="B227" s="93" t="n"/>
      <c r="C227" s="93" t="n"/>
      <c r="D227" s="93" t="n"/>
      <c r="E227" s="93" t="n"/>
      <c r="F227" s="93" t="n"/>
      <c r="G227" s="93" t="n"/>
      <c r="H227" s="93" t="n"/>
      <c r="I227" s="93" t="n"/>
      <c r="J227" s="43" t="n"/>
      <c r="K227" s="43" t="n"/>
      <c r="L227" s="43" t="n"/>
      <c r="M227" s="59" t="n"/>
      <c r="N227" s="43" t="n"/>
      <c r="O227" s="43" t="n"/>
    </row>
    <row r="228">
      <c r="A228" s="93" t="n"/>
      <c r="B228" s="93" t="n"/>
      <c r="C228" s="93" t="n"/>
      <c r="D228" s="93" t="n"/>
      <c r="E228" s="93" t="n"/>
      <c r="F228" s="93" t="n"/>
      <c r="G228" s="93" t="n"/>
      <c r="H228" s="93" t="n"/>
      <c r="I228" s="93" t="n"/>
      <c r="J228" s="43" t="n"/>
      <c r="K228" s="43" t="n"/>
      <c r="L228" s="43" t="n"/>
      <c r="M228" s="59" t="n"/>
      <c r="N228" s="43" t="n"/>
      <c r="O228" s="43" t="n"/>
    </row>
    <row r="229">
      <c r="A229" s="93" t="n"/>
      <c r="B229" s="93" t="n"/>
      <c r="C229" s="93" t="n"/>
      <c r="D229" s="93" t="n"/>
      <c r="E229" s="93" t="n"/>
      <c r="F229" s="93" t="n"/>
      <c r="G229" s="93" t="n"/>
      <c r="H229" s="93" t="n"/>
      <c r="I229" s="93" t="n"/>
      <c r="J229" s="43" t="n"/>
      <c r="K229" s="43" t="n"/>
      <c r="L229" s="43" t="n"/>
      <c r="M229" s="59" t="n"/>
      <c r="N229" s="43" t="n"/>
      <c r="O229" s="43" t="n"/>
    </row>
    <row r="230">
      <c r="A230" s="93" t="n"/>
      <c r="B230" s="93" t="n"/>
      <c r="C230" s="93" t="n"/>
      <c r="D230" s="93" t="n"/>
      <c r="E230" s="93" t="n"/>
      <c r="F230" s="93" t="n"/>
      <c r="G230" s="93" t="n"/>
      <c r="H230" s="93" t="n"/>
      <c r="I230" s="93" t="n"/>
      <c r="J230" s="43" t="n"/>
      <c r="K230" s="43" t="n"/>
      <c r="L230" s="43" t="n"/>
      <c r="M230" s="59" t="n"/>
      <c r="N230" s="43" t="n"/>
      <c r="O230" s="43" t="n"/>
    </row>
    <row r="231">
      <c r="A231" s="93" t="n"/>
      <c r="B231" s="93" t="n"/>
      <c r="C231" s="93" t="n"/>
      <c r="D231" s="93" t="n"/>
      <c r="E231" s="93" t="n"/>
      <c r="F231" s="93" t="n"/>
      <c r="G231" s="93" t="n"/>
      <c r="H231" s="93" t="n"/>
      <c r="I231" s="93" t="n"/>
      <c r="J231" s="43" t="n"/>
      <c r="K231" s="43" t="n"/>
      <c r="L231" s="43" t="n"/>
      <c r="M231" s="59" t="n"/>
      <c r="N231" s="43" t="n"/>
      <c r="O231" s="43" t="n"/>
    </row>
    <row r="232">
      <c r="A232" s="93" t="n"/>
      <c r="B232" s="93" t="n"/>
      <c r="C232" s="93" t="n"/>
      <c r="D232" s="93" t="n"/>
      <c r="E232" s="93" t="n"/>
      <c r="F232" s="93" t="n"/>
      <c r="G232" s="93" t="n"/>
      <c r="H232" s="93" t="n"/>
      <c r="I232" s="93" t="n"/>
      <c r="J232" s="43" t="n"/>
      <c r="K232" s="43" t="n"/>
      <c r="L232" s="43" t="n"/>
      <c r="M232" s="59" t="n"/>
      <c r="N232" s="43" t="n"/>
      <c r="O232" s="43" t="n"/>
    </row>
    <row r="233">
      <c r="A233" s="93" t="n"/>
      <c r="B233" s="93" t="n"/>
      <c r="C233" s="93" t="n"/>
      <c r="D233" s="93" t="n"/>
      <c r="E233" s="93" t="n"/>
      <c r="F233" s="93" t="n"/>
      <c r="G233" s="93" t="n"/>
      <c r="H233" s="93" t="n"/>
      <c r="I233" s="93" t="n"/>
      <c r="J233" s="43" t="n"/>
      <c r="K233" s="43" t="n"/>
      <c r="L233" s="43" t="n"/>
      <c r="M233" s="59" t="n"/>
      <c r="N233" s="43" t="n"/>
      <c r="O233" s="43" t="n"/>
    </row>
    <row r="234">
      <c r="A234" s="93" t="n"/>
      <c r="B234" s="93" t="n"/>
      <c r="C234" s="93" t="n"/>
      <c r="D234" s="93" t="n"/>
      <c r="E234" s="93" t="n"/>
      <c r="F234" s="93" t="n"/>
      <c r="G234" s="93" t="n"/>
      <c r="H234" s="93" t="n"/>
      <c r="I234" s="93" t="n"/>
      <c r="J234" s="43" t="n"/>
      <c r="K234" s="43" t="n"/>
      <c r="L234" s="43" t="n"/>
      <c r="M234" s="59" t="n"/>
      <c r="N234" s="43" t="n"/>
      <c r="O234" s="43" t="n"/>
    </row>
    <row r="235">
      <c r="A235" s="93" t="n"/>
      <c r="B235" s="93" t="n"/>
      <c r="C235" s="93" t="n"/>
      <c r="D235" s="93" t="n"/>
      <c r="E235" s="93" t="n"/>
      <c r="F235" s="93" t="n"/>
      <c r="G235" s="93" t="n"/>
      <c r="H235" s="93" t="n"/>
      <c r="I235" s="93" t="n"/>
      <c r="J235" s="43" t="n"/>
      <c r="K235" s="43" t="n"/>
      <c r="L235" s="43" t="n"/>
      <c r="M235" s="59" t="n"/>
      <c r="N235" s="43" t="n"/>
      <c r="O235" s="43" t="n"/>
    </row>
    <row r="236">
      <c r="A236" s="93" t="n"/>
      <c r="B236" s="93" t="n"/>
      <c r="C236" s="93" t="n"/>
      <c r="D236" s="93" t="n"/>
      <c r="E236" s="93" t="n"/>
      <c r="F236" s="93" t="n"/>
      <c r="G236" s="93" t="n"/>
      <c r="H236" s="93" t="n"/>
      <c r="I236" s="93" t="n"/>
      <c r="J236" s="43" t="n"/>
      <c r="K236" s="43" t="n"/>
      <c r="L236" s="43" t="n"/>
      <c r="M236" s="59" t="n"/>
      <c r="N236" s="43" t="n"/>
      <c r="O236" s="43" t="n"/>
    </row>
    <row r="237">
      <c r="A237" s="93" t="n"/>
      <c r="B237" s="93" t="n"/>
      <c r="C237" s="93" t="n"/>
      <c r="D237" s="93" t="n"/>
      <c r="E237" s="93" t="n"/>
      <c r="F237" s="93" t="n"/>
      <c r="G237" s="93" t="n"/>
      <c r="H237" s="93" t="n"/>
      <c r="I237" s="93" t="n"/>
      <c r="J237" s="43" t="n"/>
      <c r="K237" s="43" t="n"/>
      <c r="L237" s="43" t="n"/>
      <c r="M237" s="59" t="n"/>
      <c r="N237" s="43" t="n"/>
      <c r="O237" s="43" t="n"/>
    </row>
    <row r="238">
      <c r="A238" s="93" t="n"/>
      <c r="B238" s="93" t="n"/>
      <c r="C238" s="93" t="n"/>
      <c r="D238" s="93" t="n"/>
      <c r="E238" s="93" t="n"/>
      <c r="F238" s="93" t="n"/>
      <c r="G238" s="93" t="n"/>
      <c r="H238" s="93" t="n"/>
      <c r="I238" s="93" t="n"/>
      <c r="J238" s="43" t="n"/>
      <c r="K238" s="43" t="n"/>
      <c r="L238" s="43" t="n"/>
      <c r="M238" s="59" t="n"/>
      <c r="N238" s="43" t="n"/>
      <c r="O238" s="43" t="n"/>
    </row>
    <row r="239">
      <c r="A239" s="93" t="n"/>
      <c r="B239" s="93" t="n"/>
      <c r="C239" s="93" t="n"/>
      <c r="D239" s="93" t="n"/>
      <c r="E239" s="93" t="n"/>
      <c r="F239" s="93" t="n"/>
      <c r="G239" s="93" t="n"/>
      <c r="H239" s="93" t="n"/>
      <c r="I239" s="93" t="n"/>
      <c r="J239" s="43" t="n"/>
      <c r="K239" s="43" t="n"/>
      <c r="L239" s="43" t="n"/>
      <c r="M239" s="59" t="n"/>
      <c r="N239" s="43" t="n"/>
      <c r="O239" s="43" t="n"/>
    </row>
    <row r="240">
      <c r="A240" s="93" t="n"/>
      <c r="B240" s="93" t="n"/>
      <c r="C240" s="93" t="n"/>
      <c r="D240" s="93" t="n"/>
      <c r="E240" s="93" t="n"/>
      <c r="F240" s="93" t="n"/>
      <c r="G240" s="93" t="n"/>
      <c r="H240" s="93" t="n"/>
      <c r="I240" s="93" t="n"/>
      <c r="J240" s="43" t="n"/>
      <c r="K240" s="43" t="n"/>
      <c r="L240" s="43" t="n"/>
      <c r="M240" s="59" t="n"/>
      <c r="N240" s="43" t="n"/>
      <c r="O240" s="43" t="n"/>
    </row>
    <row r="241">
      <c r="A241" s="93" t="n"/>
      <c r="B241" s="93" t="n"/>
      <c r="C241" s="93" t="n"/>
      <c r="D241" s="93" t="n"/>
      <c r="E241" s="93" t="n"/>
      <c r="F241" s="93" t="n"/>
      <c r="G241" s="93" t="n"/>
      <c r="H241" s="93" t="n"/>
      <c r="I241" s="93" t="n"/>
      <c r="J241" s="43" t="n"/>
      <c r="K241" s="43" t="n"/>
      <c r="L241" s="43" t="n"/>
      <c r="M241" s="59" t="n"/>
      <c r="N241" s="43" t="n"/>
      <c r="O241" s="43" t="n"/>
    </row>
    <row r="242">
      <c r="A242" s="93" t="n"/>
      <c r="B242" s="93" t="n"/>
      <c r="C242" s="93" t="n"/>
      <c r="D242" s="93" t="n"/>
      <c r="E242" s="93" t="n"/>
      <c r="F242" s="93" t="n"/>
      <c r="G242" s="93" t="n"/>
      <c r="H242" s="93" t="n"/>
      <c r="I242" s="93" t="n"/>
      <c r="J242" s="43" t="n"/>
      <c r="K242" s="43" t="n"/>
      <c r="L242" s="43" t="n"/>
      <c r="M242" s="59" t="n"/>
      <c r="N242" s="43" t="n"/>
      <c r="O242" s="43" t="n"/>
    </row>
    <row r="243">
      <c r="A243" s="93" t="n"/>
      <c r="B243" s="93" t="n"/>
      <c r="C243" s="93" t="n"/>
      <c r="D243" s="93" t="n"/>
      <c r="E243" s="93" t="n"/>
      <c r="F243" s="93" t="n"/>
      <c r="G243" s="93" t="n"/>
      <c r="H243" s="93" t="n"/>
      <c r="I243" s="93" t="n"/>
      <c r="J243" s="43" t="n"/>
      <c r="K243" s="43" t="n"/>
      <c r="L243" s="43" t="n"/>
      <c r="M243" s="59" t="n"/>
      <c r="N243" s="43" t="n"/>
      <c r="O243" s="43" t="n"/>
    </row>
    <row r="244">
      <c r="A244" s="93" t="n"/>
      <c r="B244" s="93" t="n"/>
      <c r="C244" s="93" t="n"/>
      <c r="D244" s="93" t="n"/>
      <c r="E244" s="93" t="n"/>
      <c r="F244" s="93" t="n"/>
      <c r="G244" s="93" t="n"/>
      <c r="H244" s="93" t="n"/>
      <c r="I244" s="93" t="n"/>
      <c r="J244" s="43" t="n"/>
      <c r="K244" s="43" t="n"/>
      <c r="L244" s="43" t="n"/>
      <c r="M244" s="59" t="n"/>
      <c r="N244" s="43" t="n"/>
      <c r="O244" s="43" t="n"/>
    </row>
    <row r="245">
      <c r="A245" s="93" t="n"/>
      <c r="B245" s="93" t="n"/>
      <c r="C245" s="93" t="n"/>
      <c r="D245" s="93" t="n"/>
      <c r="E245" s="93" t="n"/>
      <c r="F245" s="93" t="n"/>
      <c r="G245" s="93" t="n"/>
      <c r="H245" s="93" t="n"/>
      <c r="I245" s="93" t="n"/>
      <c r="J245" s="43" t="n"/>
      <c r="K245" s="43" t="n"/>
      <c r="L245" s="43" t="n"/>
      <c r="M245" s="59" t="n"/>
      <c r="N245" s="43" t="n"/>
      <c r="O245" s="43" t="n"/>
    </row>
    <row r="246">
      <c r="A246" s="93" t="n"/>
      <c r="B246" s="93" t="n"/>
      <c r="C246" s="93" t="n"/>
      <c r="D246" s="93" t="n"/>
      <c r="E246" s="93" t="n"/>
      <c r="F246" s="93" t="n"/>
      <c r="G246" s="93" t="n"/>
      <c r="H246" s="93" t="n"/>
      <c r="I246" s="93" t="n"/>
      <c r="J246" s="43" t="n"/>
      <c r="K246" s="43" t="n"/>
      <c r="L246" s="43" t="n"/>
      <c r="M246" s="59" t="n"/>
      <c r="N246" s="43" t="n"/>
      <c r="O246" s="43" t="n"/>
    </row>
    <row r="247">
      <c r="A247" s="93" t="n"/>
      <c r="B247" s="93" t="n"/>
      <c r="C247" s="93" t="n"/>
      <c r="D247" s="93" t="n"/>
      <c r="E247" s="93" t="n"/>
      <c r="F247" s="93" t="n"/>
      <c r="G247" s="93" t="n"/>
      <c r="H247" s="93" t="n"/>
      <c r="I247" s="93" t="n"/>
      <c r="J247" s="43" t="n"/>
      <c r="K247" s="43" t="n"/>
      <c r="L247" s="43" t="n"/>
      <c r="M247" s="59" t="n"/>
      <c r="N247" s="43" t="n"/>
      <c r="O247" s="43" t="n"/>
    </row>
    <row r="248">
      <c r="A248" s="93" t="n"/>
      <c r="B248" s="93" t="n"/>
      <c r="C248" s="93" t="n"/>
      <c r="D248" s="93" t="n"/>
      <c r="E248" s="93" t="n"/>
      <c r="F248" s="93" t="n"/>
      <c r="G248" s="93" t="n"/>
      <c r="H248" s="93" t="n"/>
      <c r="I248" s="93" t="n"/>
      <c r="J248" s="43" t="n"/>
      <c r="K248" s="43" t="n"/>
      <c r="L248" s="43" t="n"/>
      <c r="M248" s="59" t="n"/>
      <c r="N248" s="43" t="n"/>
      <c r="O248" s="43" t="n"/>
    </row>
    <row r="249">
      <c r="A249" s="93" t="n"/>
      <c r="B249" s="93" t="n"/>
      <c r="C249" s="93" t="n"/>
      <c r="D249" s="93" t="n"/>
      <c r="E249" s="93" t="n"/>
      <c r="F249" s="93" t="n"/>
      <c r="G249" s="93" t="n"/>
      <c r="H249" s="93" t="n"/>
      <c r="I249" s="93" t="n"/>
      <c r="J249" s="43" t="n"/>
      <c r="K249" s="43" t="n"/>
      <c r="L249" s="43" t="n"/>
      <c r="M249" s="59" t="n"/>
      <c r="N249" s="43" t="n"/>
      <c r="O249" s="43" t="n"/>
    </row>
    <row r="250">
      <c r="A250" s="93" t="n"/>
      <c r="B250" s="93" t="n"/>
      <c r="C250" s="93" t="n"/>
      <c r="D250" s="93" t="n"/>
      <c r="E250" s="93" t="n"/>
      <c r="F250" s="93" t="n"/>
      <c r="G250" s="93" t="n"/>
      <c r="H250" s="93" t="n"/>
      <c r="I250" s="93" t="n"/>
      <c r="J250" s="43" t="n"/>
      <c r="K250" s="43" t="n"/>
      <c r="L250" s="43" t="n"/>
      <c r="M250" s="59" t="n"/>
      <c r="N250" s="43" t="n"/>
      <c r="O250" s="43" t="n"/>
    </row>
    <row r="251">
      <c r="A251" s="93" t="n"/>
      <c r="B251" s="93" t="n"/>
      <c r="C251" s="93" t="n"/>
      <c r="D251" s="93" t="n"/>
      <c r="E251" s="93" t="n"/>
      <c r="F251" s="93" t="n"/>
      <c r="G251" s="93" t="n"/>
      <c r="H251" s="93" t="n"/>
      <c r="I251" s="93" t="n"/>
      <c r="J251" s="43" t="n"/>
      <c r="K251" s="43" t="n"/>
      <c r="L251" s="43" t="n"/>
      <c r="M251" s="59" t="n"/>
      <c r="N251" s="43" t="n"/>
      <c r="O251" s="43" t="n"/>
    </row>
    <row r="252">
      <c r="A252" s="93" t="n"/>
      <c r="B252" s="93" t="n"/>
      <c r="C252" s="93" t="n"/>
      <c r="D252" s="93" t="n"/>
      <c r="E252" s="93" t="n"/>
      <c r="F252" s="93" t="n"/>
      <c r="G252" s="93" t="n"/>
      <c r="H252" s="93" t="n"/>
      <c r="I252" s="93" t="n"/>
      <c r="J252" s="43" t="n"/>
      <c r="K252" s="43" t="n"/>
      <c r="L252" s="43" t="n"/>
      <c r="M252" s="59" t="n"/>
      <c r="N252" s="43" t="n"/>
      <c r="O252" s="43" t="n"/>
    </row>
    <row r="253">
      <c r="A253" s="93" t="n"/>
      <c r="B253" s="93" t="n"/>
      <c r="C253" s="93" t="n"/>
      <c r="D253" s="93" t="n"/>
      <c r="E253" s="93" t="n"/>
      <c r="F253" s="93" t="n"/>
      <c r="G253" s="93" t="n"/>
      <c r="H253" s="93" t="n"/>
      <c r="I253" s="93" t="n"/>
      <c r="J253" s="43" t="n"/>
      <c r="K253" s="43" t="n"/>
      <c r="L253" s="43" t="n"/>
      <c r="M253" s="59" t="n"/>
      <c r="N253" s="43" t="n"/>
      <c r="O253" s="43" t="n"/>
    </row>
    <row r="254">
      <c r="A254" s="93" t="n"/>
      <c r="B254" s="93" t="n"/>
      <c r="C254" s="93" t="n"/>
      <c r="D254" s="93" t="n"/>
      <c r="E254" s="93" t="n"/>
      <c r="F254" s="93" t="n"/>
      <c r="G254" s="93" t="n"/>
      <c r="H254" s="93" t="n"/>
      <c r="I254" s="93" t="n"/>
      <c r="J254" s="43" t="n"/>
      <c r="K254" s="43" t="n"/>
      <c r="L254" s="43" t="n"/>
      <c r="M254" s="59" t="n"/>
      <c r="N254" s="43" t="n"/>
      <c r="O254" s="43" t="n"/>
    </row>
    <row r="255">
      <c r="A255" s="93" t="n"/>
      <c r="B255" s="93" t="n"/>
      <c r="C255" s="93" t="n"/>
      <c r="D255" s="93" t="n"/>
      <c r="E255" s="93" t="n"/>
      <c r="F255" s="93" t="n"/>
      <c r="G255" s="93" t="n"/>
      <c r="H255" s="93" t="n"/>
      <c r="I255" s="93" t="n"/>
      <c r="J255" s="43" t="n"/>
      <c r="K255" s="43" t="n"/>
      <c r="L255" s="43" t="n"/>
      <c r="M255" s="59" t="n"/>
      <c r="N255" s="43" t="n"/>
      <c r="O255" s="43" t="n"/>
    </row>
    <row r="256">
      <c r="A256" s="93" t="n"/>
      <c r="B256" s="93" t="n"/>
      <c r="C256" s="93" t="n"/>
      <c r="D256" s="93" t="n"/>
      <c r="E256" s="93" t="n"/>
      <c r="F256" s="93" t="n"/>
      <c r="G256" s="93" t="n"/>
      <c r="H256" s="93" t="n"/>
      <c r="I256" s="93" t="n"/>
      <c r="J256" s="43" t="n"/>
      <c r="K256" s="43" t="n"/>
      <c r="L256" s="43" t="n"/>
      <c r="M256" s="59" t="n"/>
      <c r="N256" s="43" t="n"/>
      <c r="O256" s="43" t="n"/>
    </row>
    <row r="257">
      <c r="A257" s="93" t="n"/>
      <c r="B257" s="93" t="n"/>
      <c r="C257" s="93" t="n"/>
      <c r="D257" s="93" t="n"/>
      <c r="E257" s="93" t="n"/>
      <c r="F257" s="93" t="n"/>
      <c r="G257" s="93" t="n"/>
      <c r="H257" s="93" t="n"/>
      <c r="I257" s="93" t="n"/>
      <c r="J257" s="43" t="n"/>
      <c r="K257" s="43" t="n"/>
      <c r="L257" s="43" t="n"/>
      <c r="M257" s="59" t="n"/>
      <c r="N257" s="43" t="n"/>
      <c r="O257" s="43" t="n"/>
    </row>
    <row r="258">
      <c r="A258" s="93" t="n"/>
      <c r="B258" s="93" t="n"/>
      <c r="C258" s="93" t="n"/>
      <c r="D258" s="93" t="n"/>
      <c r="E258" s="93" t="n"/>
      <c r="F258" s="93" t="n"/>
      <c r="G258" s="93" t="n"/>
      <c r="H258" s="93" t="n"/>
      <c r="I258" s="93" t="n"/>
      <c r="J258" s="43" t="n"/>
      <c r="K258" s="43" t="n"/>
      <c r="L258" s="43" t="n"/>
      <c r="M258" s="59" t="n"/>
      <c r="N258" s="43" t="n"/>
      <c r="O258" s="43" t="n"/>
    </row>
    <row r="259">
      <c r="A259" s="93" t="n"/>
      <c r="B259" s="93" t="n"/>
      <c r="C259" s="93" t="n"/>
      <c r="D259" s="93" t="n"/>
      <c r="E259" s="93" t="n"/>
      <c r="F259" s="93" t="n"/>
      <c r="G259" s="93" t="n"/>
      <c r="H259" s="93" t="n"/>
      <c r="I259" s="93" t="n"/>
      <c r="J259" s="43" t="n"/>
      <c r="K259" s="43" t="n"/>
      <c r="L259" s="43" t="n"/>
      <c r="M259" s="59" t="n"/>
      <c r="N259" s="43" t="n"/>
      <c r="O259" s="43" t="n"/>
    </row>
    <row r="260">
      <c r="A260" s="93" t="n"/>
      <c r="B260" s="93" t="n"/>
      <c r="C260" s="93" t="n"/>
      <c r="D260" s="93" t="n"/>
      <c r="E260" s="93" t="n"/>
      <c r="F260" s="93" t="n"/>
      <c r="G260" s="93" t="n"/>
      <c r="H260" s="93" t="n"/>
      <c r="I260" s="93" t="n"/>
      <c r="J260" s="43" t="n"/>
      <c r="K260" s="43" t="n"/>
      <c r="L260" s="43" t="n"/>
      <c r="M260" s="59" t="n"/>
      <c r="N260" s="43" t="n"/>
      <c r="O260" s="43" t="n"/>
    </row>
    <row r="261">
      <c r="A261" s="93" t="n"/>
      <c r="B261" s="93" t="n"/>
      <c r="C261" s="93" t="n"/>
      <c r="D261" s="93" t="n"/>
      <c r="E261" s="93" t="n"/>
      <c r="F261" s="93" t="n"/>
      <c r="G261" s="93" t="n"/>
      <c r="H261" s="93" t="n"/>
      <c r="I261" s="93" t="n"/>
      <c r="J261" s="43" t="n"/>
      <c r="K261" s="43" t="n"/>
      <c r="L261" s="43" t="n"/>
      <c r="M261" s="59" t="n"/>
      <c r="N261" s="43" t="n"/>
      <c r="O261" s="43" t="n"/>
    </row>
    <row r="262">
      <c r="A262" s="93" t="n"/>
      <c r="B262" s="93" t="n"/>
      <c r="C262" s="93" t="n"/>
      <c r="D262" s="93" t="n"/>
      <c r="E262" s="93" t="n"/>
      <c r="F262" s="93" t="n"/>
      <c r="G262" s="93" t="n"/>
      <c r="H262" s="93" t="n"/>
      <c r="I262" s="93" t="n"/>
      <c r="J262" s="43" t="n"/>
      <c r="K262" s="43" t="n"/>
      <c r="L262" s="43" t="n"/>
      <c r="M262" s="59" t="n"/>
      <c r="N262" s="43" t="n"/>
      <c r="O262" s="43" t="n"/>
    </row>
    <row r="263">
      <c r="A263" s="93" t="n"/>
      <c r="B263" s="93" t="n"/>
      <c r="C263" s="93" t="n"/>
      <c r="D263" s="93" t="n"/>
      <c r="E263" s="93" t="n"/>
      <c r="F263" s="93" t="n"/>
      <c r="G263" s="93" t="n"/>
      <c r="H263" s="93" t="n"/>
      <c r="I263" s="93" t="n"/>
      <c r="J263" s="43" t="n"/>
      <c r="K263" s="43" t="n"/>
      <c r="L263" s="43" t="n"/>
      <c r="M263" s="59" t="n"/>
      <c r="N263" s="43" t="n"/>
      <c r="O263" s="43" t="n"/>
    </row>
    <row r="264">
      <c r="A264" s="93" t="n"/>
      <c r="B264" s="93" t="n"/>
      <c r="C264" s="93" t="n"/>
      <c r="D264" s="93" t="n"/>
      <c r="E264" s="93" t="n"/>
      <c r="F264" s="93" t="n"/>
      <c r="G264" s="93" t="n"/>
      <c r="H264" s="93" t="n"/>
      <c r="I264" s="93" t="n"/>
      <c r="J264" s="43" t="n"/>
      <c r="K264" s="43" t="n"/>
      <c r="L264" s="43" t="n"/>
      <c r="M264" s="59" t="n"/>
      <c r="N264" s="43" t="n"/>
      <c r="O264" s="43" t="n"/>
    </row>
    <row r="265">
      <c r="A265" s="93" t="n"/>
      <c r="B265" s="93" t="n"/>
      <c r="C265" s="93" t="n"/>
      <c r="D265" s="93" t="n"/>
      <c r="E265" s="93" t="n"/>
      <c r="F265" s="93" t="n"/>
      <c r="G265" s="93" t="n"/>
      <c r="H265" s="93" t="n"/>
      <c r="I265" s="93" t="n"/>
      <c r="J265" s="43" t="n"/>
      <c r="K265" s="43" t="n"/>
      <c r="L265" s="43" t="n"/>
      <c r="M265" s="59" t="n"/>
      <c r="N265" s="43" t="n"/>
      <c r="O265" s="43" t="n"/>
    </row>
    <row r="266">
      <c r="A266" s="93" t="n"/>
      <c r="B266" s="93" t="n"/>
      <c r="C266" s="93" t="n"/>
      <c r="D266" s="93" t="n"/>
      <c r="E266" s="93" t="n"/>
      <c r="F266" s="93" t="n"/>
      <c r="G266" s="93" t="n"/>
      <c r="H266" s="93" t="n"/>
      <c r="I266" s="93" t="n"/>
      <c r="J266" s="43" t="n"/>
      <c r="K266" s="43" t="n"/>
      <c r="L266" s="43" t="n"/>
      <c r="M266" s="59" t="n"/>
      <c r="N266" s="43" t="n"/>
      <c r="O266" s="43" t="n"/>
    </row>
    <row r="267">
      <c r="A267" s="93" t="n"/>
      <c r="B267" s="93" t="n"/>
      <c r="C267" s="93" t="n"/>
      <c r="D267" s="93" t="n"/>
      <c r="E267" s="93" t="n"/>
      <c r="F267" s="93" t="n"/>
      <c r="G267" s="93" t="n"/>
      <c r="H267" s="93" t="n"/>
      <c r="I267" s="93" t="n"/>
      <c r="J267" s="43" t="n"/>
      <c r="K267" s="43" t="n"/>
      <c r="L267" s="43" t="n"/>
      <c r="M267" s="59" t="n"/>
      <c r="N267" s="43" t="n"/>
      <c r="O267" s="43" t="n"/>
    </row>
    <row r="268">
      <c r="A268" s="93" t="n"/>
      <c r="B268" s="93" t="n"/>
      <c r="C268" s="93" t="n"/>
      <c r="D268" s="93" t="n"/>
      <c r="E268" s="93" t="n"/>
      <c r="F268" s="93" t="n"/>
      <c r="G268" s="93" t="n"/>
      <c r="H268" s="93" t="n"/>
      <c r="I268" s="93" t="n"/>
      <c r="J268" s="43" t="n"/>
      <c r="K268" s="43" t="n"/>
      <c r="L268" s="43" t="n"/>
      <c r="M268" s="59" t="n"/>
      <c r="N268" s="43" t="n"/>
      <c r="O268" s="43" t="n"/>
    </row>
    <row r="269">
      <c r="A269" s="93" t="n"/>
      <c r="B269" s="93" t="n"/>
      <c r="C269" s="93" t="n"/>
      <c r="D269" s="93" t="n"/>
      <c r="E269" s="93" t="n"/>
      <c r="F269" s="93" t="n"/>
      <c r="G269" s="93" t="n"/>
      <c r="H269" s="93" t="n"/>
      <c r="I269" s="93" t="n"/>
      <c r="J269" s="43" t="n"/>
      <c r="K269" s="43" t="n"/>
      <c r="L269" s="43" t="n"/>
      <c r="M269" s="59" t="n"/>
      <c r="N269" s="43" t="n"/>
      <c r="O269" s="43" t="n"/>
    </row>
    <row r="270">
      <c r="A270" s="93" t="n"/>
      <c r="B270" s="93" t="n"/>
      <c r="C270" s="93" t="n"/>
      <c r="D270" s="93" t="n"/>
      <c r="E270" s="93" t="n"/>
      <c r="F270" s="93" t="n"/>
      <c r="G270" s="93" t="n"/>
      <c r="H270" s="93" t="n"/>
      <c r="I270" s="93" t="n"/>
      <c r="J270" s="43" t="n"/>
      <c r="K270" s="43" t="n"/>
      <c r="L270" s="43" t="n"/>
      <c r="M270" s="59" t="n"/>
      <c r="N270" s="43" t="n"/>
      <c r="O270" s="43" t="n"/>
    </row>
    <row r="271">
      <c r="A271" s="93" t="n"/>
      <c r="B271" s="93" t="n"/>
      <c r="C271" s="93" t="n"/>
      <c r="D271" s="93" t="n"/>
      <c r="E271" s="93" t="n"/>
      <c r="F271" s="93" t="n"/>
      <c r="G271" s="93" t="n"/>
      <c r="H271" s="93" t="n"/>
      <c r="I271" s="93" t="n"/>
      <c r="J271" s="43" t="n"/>
      <c r="K271" s="43" t="n"/>
      <c r="L271" s="43" t="n"/>
      <c r="M271" s="59" t="n"/>
      <c r="N271" s="43" t="n"/>
      <c r="O271" s="43" t="n"/>
    </row>
    <row r="272">
      <c r="A272" s="93" t="n"/>
      <c r="B272" s="93" t="n"/>
      <c r="C272" s="93" t="n"/>
      <c r="D272" s="93" t="n"/>
      <c r="E272" s="93" t="n"/>
      <c r="F272" s="93" t="n"/>
      <c r="G272" s="93" t="n"/>
      <c r="H272" s="93" t="n"/>
      <c r="I272" s="93" t="n"/>
      <c r="J272" s="43" t="n"/>
      <c r="K272" s="43" t="n"/>
      <c r="L272" s="43" t="n"/>
      <c r="M272" s="59" t="n"/>
      <c r="N272" s="43" t="n"/>
      <c r="O272" s="43" t="n"/>
    </row>
    <row r="273">
      <c r="A273" s="93" t="n"/>
      <c r="B273" s="93" t="n"/>
      <c r="C273" s="93" t="n"/>
      <c r="D273" s="93" t="n"/>
      <c r="E273" s="93" t="n"/>
      <c r="F273" s="93" t="n"/>
      <c r="G273" s="93" t="n"/>
      <c r="H273" s="93" t="n"/>
      <c r="I273" s="93" t="n"/>
      <c r="J273" s="43" t="n"/>
      <c r="K273" s="43" t="n"/>
      <c r="L273" s="43" t="n"/>
      <c r="M273" s="59" t="n"/>
      <c r="N273" s="43" t="n"/>
      <c r="O273" s="43" t="n"/>
    </row>
    <row r="274">
      <c r="A274" s="93" t="n"/>
      <c r="B274" s="93" t="n"/>
      <c r="C274" s="93" t="n"/>
      <c r="D274" s="93" t="n"/>
      <c r="E274" s="93" t="n"/>
      <c r="F274" s="93" t="n"/>
      <c r="G274" s="93" t="n"/>
      <c r="H274" s="93" t="n"/>
      <c r="I274" s="93" t="n"/>
      <c r="J274" s="43" t="n"/>
      <c r="K274" s="43" t="n"/>
      <c r="L274" s="43" t="n"/>
      <c r="M274" s="59" t="n"/>
      <c r="N274" s="43" t="n"/>
      <c r="O274" s="43" t="n"/>
    </row>
    <row r="275">
      <c r="A275" s="93" t="n"/>
      <c r="B275" s="93" t="n"/>
      <c r="C275" s="93" t="n"/>
      <c r="D275" s="93" t="n"/>
      <c r="E275" s="93" t="n"/>
      <c r="F275" s="93" t="n"/>
      <c r="G275" s="93" t="n"/>
      <c r="H275" s="93" t="n"/>
      <c r="I275" s="93" t="n"/>
      <c r="J275" s="43" t="n"/>
      <c r="K275" s="43" t="n"/>
      <c r="L275" s="43" t="n"/>
      <c r="M275" s="59" t="n"/>
      <c r="N275" s="43" t="n"/>
      <c r="O275" s="43" t="n"/>
    </row>
    <row r="276">
      <c r="A276" s="93" t="n"/>
      <c r="B276" s="93" t="n"/>
      <c r="C276" s="93" t="n"/>
      <c r="D276" s="93" t="n"/>
      <c r="E276" s="93" t="n"/>
      <c r="F276" s="93" t="n"/>
      <c r="G276" s="93" t="n"/>
      <c r="H276" s="93" t="n"/>
      <c r="I276" s="93" t="n"/>
      <c r="J276" s="43" t="n"/>
      <c r="K276" s="43" t="n"/>
      <c r="L276" s="43" t="n"/>
      <c r="M276" s="59" t="n"/>
      <c r="N276" s="43" t="n"/>
      <c r="O276" s="43" t="n"/>
    </row>
    <row r="277">
      <c r="A277" s="93" t="n"/>
      <c r="B277" s="93" t="n"/>
      <c r="C277" s="93" t="n"/>
      <c r="D277" s="93" t="n"/>
      <c r="E277" s="93" t="n"/>
      <c r="F277" s="93" t="n"/>
      <c r="G277" s="93" t="n"/>
      <c r="H277" s="93" t="n"/>
      <c r="I277" s="93" t="n"/>
      <c r="J277" s="43" t="n"/>
      <c r="K277" s="43" t="n"/>
      <c r="L277" s="43" t="n"/>
      <c r="M277" s="59" t="n"/>
      <c r="N277" s="43" t="n"/>
      <c r="O277" s="43" t="n"/>
    </row>
    <row r="278">
      <c r="A278" s="93" t="n"/>
      <c r="B278" s="93" t="n"/>
      <c r="C278" s="93" t="n"/>
      <c r="D278" s="93" t="n"/>
      <c r="E278" s="93" t="n"/>
      <c r="F278" s="93" t="n"/>
      <c r="G278" s="93" t="n"/>
      <c r="H278" s="93" t="n"/>
      <c r="I278" s="93" t="n"/>
      <c r="J278" s="43" t="n"/>
      <c r="K278" s="43" t="n"/>
      <c r="L278" s="43" t="n"/>
      <c r="M278" s="59" t="n"/>
      <c r="N278" s="43" t="n"/>
      <c r="O278" s="43" t="n"/>
    </row>
    <row r="279">
      <c r="A279" s="93" t="n"/>
      <c r="B279" s="93" t="n"/>
      <c r="C279" s="93" t="n"/>
      <c r="D279" s="93" t="n"/>
      <c r="E279" s="93" t="n"/>
      <c r="F279" s="93" t="n"/>
      <c r="G279" s="93" t="n"/>
      <c r="H279" s="93" t="n"/>
      <c r="I279" s="93" t="n"/>
      <c r="J279" s="43" t="n"/>
      <c r="K279" s="43" t="n"/>
      <c r="L279" s="43" t="n"/>
      <c r="M279" s="59" t="n"/>
      <c r="N279" s="43" t="n"/>
      <c r="O279" s="43" t="n"/>
    </row>
    <row r="280">
      <c r="A280" s="93" t="n"/>
      <c r="B280" s="93" t="n"/>
      <c r="C280" s="93" t="n"/>
      <c r="D280" s="93" t="n"/>
      <c r="E280" s="93" t="n"/>
      <c r="F280" s="93" t="n"/>
      <c r="G280" s="93" t="n"/>
      <c r="H280" s="93" t="n"/>
      <c r="I280" s="93" t="n"/>
      <c r="J280" s="43" t="n"/>
      <c r="K280" s="43" t="n"/>
      <c r="L280" s="43" t="n"/>
      <c r="M280" s="59" t="n"/>
      <c r="N280" s="43" t="n"/>
      <c r="O280" s="43" t="n"/>
    </row>
    <row r="281">
      <c r="A281" s="93" t="n"/>
      <c r="B281" s="93" t="n"/>
      <c r="C281" s="93" t="n"/>
      <c r="D281" s="93" t="n"/>
      <c r="E281" s="93" t="n"/>
      <c r="F281" s="93" t="n"/>
      <c r="G281" s="93" t="n"/>
      <c r="H281" s="93" t="n"/>
      <c r="I281" s="93" t="n"/>
      <c r="J281" s="43" t="n"/>
      <c r="K281" s="43" t="n"/>
      <c r="L281" s="43" t="n"/>
      <c r="M281" s="59" t="n"/>
      <c r="N281" s="43" t="n"/>
      <c r="O281" s="43" t="n"/>
    </row>
    <row r="282">
      <c r="A282" s="93" t="n"/>
      <c r="B282" s="93" t="n"/>
      <c r="C282" s="93" t="n"/>
      <c r="D282" s="93" t="n"/>
      <c r="E282" s="93" t="n"/>
      <c r="F282" s="93" t="n"/>
      <c r="G282" s="93" t="n"/>
      <c r="H282" s="93" t="n"/>
      <c r="I282" s="93" t="n"/>
      <c r="J282" s="43" t="n"/>
      <c r="K282" s="43" t="n"/>
      <c r="L282" s="43" t="n"/>
      <c r="M282" s="59" t="n"/>
      <c r="N282" s="43" t="n"/>
      <c r="O282" s="43" t="n"/>
    </row>
    <row r="283">
      <c r="A283" s="93" t="n"/>
      <c r="B283" s="93" t="n"/>
      <c r="C283" s="93" t="n"/>
      <c r="D283" s="93" t="n"/>
      <c r="E283" s="93" t="n"/>
      <c r="F283" s="93" t="n"/>
      <c r="G283" s="93" t="n"/>
      <c r="H283" s="93" t="n"/>
      <c r="I283" s="93" t="n"/>
      <c r="J283" s="43" t="n"/>
      <c r="K283" s="43" t="n"/>
      <c r="L283" s="43" t="n"/>
      <c r="M283" s="59" t="n"/>
      <c r="N283" s="43" t="n"/>
      <c r="O283" s="43" t="n"/>
    </row>
    <row r="284">
      <c r="A284" s="93" t="n"/>
      <c r="B284" s="93" t="n"/>
      <c r="C284" s="93" t="n"/>
      <c r="D284" s="93" t="n"/>
      <c r="E284" s="93" t="n"/>
      <c r="F284" s="93" t="n"/>
      <c r="G284" s="93" t="n"/>
      <c r="H284" s="93" t="n"/>
      <c r="I284" s="93" t="n"/>
      <c r="J284" s="43" t="n"/>
      <c r="K284" s="43" t="n"/>
      <c r="L284" s="43" t="n"/>
      <c r="M284" s="59" t="n"/>
      <c r="N284" s="43" t="n"/>
      <c r="O284" s="43" t="n"/>
    </row>
    <row r="285">
      <c r="A285" s="93" t="n"/>
      <c r="B285" s="93" t="n"/>
      <c r="C285" s="93" t="n"/>
      <c r="D285" s="93" t="n"/>
      <c r="E285" s="93" t="n"/>
      <c r="F285" s="93" t="n"/>
      <c r="G285" s="93" t="n"/>
      <c r="H285" s="93" t="n"/>
      <c r="I285" s="93" t="n"/>
      <c r="J285" s="43" t="n"/>
      <c r="K285" s="43" t="n"/>
      <c r="L285" s="43" t="n"/>
      <c r="M285" s="59" t="n"/>
      <c r="N285" s="43" t="n"/>
      <c r="O285" s="43" t="n"/>
    </row>
    <row r="286">
      <c r="A286" s="93" t="n"/>
      <c r="B286" s="93" t="n"/>
      <c r="C286" s="93" t="n"/>
      <c r="D286" s="93" t="n"/>
      <c r="E286" s="93" t="n"/>
      <c r="F286" s="93" t="n"/>
      <c r="G286" s="93" t="n"/>
      <c r="H286" s="93" t="n"/>
      <c r="I286" s="93" t="n"/>
      <c r="J286" s="43" t="n"/>
      <c r="K286" s="43" t="n"/>
      <c r="L286" s="43" t="n"/>
      <c r="M286" s="59" t="n"/>
      <c r="N286" s="43" t="n"/>
      <c r="O286" s="43" t="n"/>
    </row>
    <row r="287">
      <c r="A287" s="93" t="n"/>
      <c r="B287" s="93" t="n"/>
      <c r="C287" s="93" t="n"/>
      <c r="D287" s="93" t="n"/>
      <c r="E287" s="93" t="n"/>
      <c r="F287" s="93" t="n"/>
      <c r="G287" s="93" t="n"/>
      <c r="H287" s="93" t="n"/>
      <c r="I287" s="93" t="n"/>
      <c r="J287" s="43" t="n"/>
      <c r="K287" s="43" t="n"/>
      <c r="L287" s="43" t="n"/>
      <c r="M287" s="59" t="n"/>
      <c r="N287" s="43" t="n"/>
      <c r="O287" s="43" t="n"/>
    </row>
    <row r="288">
      <c r="A288" s="93" t="n"/>
      <c r="B288" s="93" t="n"/>
      <c r="C288" s="93" t="n"/>
      <c r="D288" s="93" t="n"/>
      <c r="E288" s="93" t="n"/>
      <c r="F288" s="93" t="n"/>
      <c r="G288" s="93" t="n"/>
      <c r="H288" s="93" t="n"/>
      <c r="I288" s="93" t="n"/>
      <c r="J288" s="43" t="n"/>
      <c r="K288" s="43" t="n"/>
      <c r="L288" s="43" t="n"/>
      <c r="M288" s="59" t="n"/>
      <c r="N288" s="43" t="n"/>
      <c r="O288" s="43" t="n"/>
    </row>
    <row r="289">
      <c r="A289" s="93" t="n"/>
      <c r="B289" s="93" t="n"/>
      <c r="C289" s="93" t="n"/>
      <c r="D289" s="93" t="n"/>
      <c r="E289" s="93" t="n"/>
      <c r="F289" s="93" t="n"/>
      <c r="G289" s="93" t="n"/>
      <c r="H289" s="93" t="n"/>
      <c r="I289" s="93" t="n"/>
      <c r="J289" s="43" t="n"/>
      <c r="K289" s="43" t="n"/>
      <c r="L289" s="43" t="n"/>
      <c r="M289" s="59" t="n"/>
      <c r="N289" s="43" t="n"/>
      <c r="O289" s="43" t="n"/>
    </row>
    <row r="290">
      <c r="A290" s="93" t="n"/>
      <c r="B290" s="93" t="n"/>
      <c r="C290" s="93" t="n"/>
      <c r="D290" s="93" t="n"/>
      <c r="E290" s="93" t="n"/>
      <c r="F290" s="93" t="n"/>
      <c r="G290" s="93" t="n"/>
      <c r="H290" s="93" t="n"/>
      <c r="I290" s="93" t="n"/>
      <c r="J290" s="43" t="n"/>
      <c r="K290" s="43" t="n"/>
      <c r="L290" s="43" t="n"/>
      <c r="M290" s="59" t="n"/>
      <c r="N290" s="43" t="n"/>
      <c r="O290" s="43" t="n"/>
    </row>
    <row r="291">
      <c r="A291" s="93" t="n"/>
      <c r="B291" s="93" t="n"/>
      <c r="C291" s="93" t="n"/>
      <c r="D291" s="93" t="n"/>
      <c r="E291" s="93" t="n"/>
      <c r="F291" s="93" t="n"/>
      <c r="G291" s="93" t="n"/>
      <c r="H291" s="93" t="n"/>
      <c r="I291" s="93" t="n"/>
      <c r="J291" s="43" t="n"/>
      <c r="K291" s="43" t="n"/>
      <c r="L291" s="43" t="n"/>
      <c r="M291" s="59" t="n"/>
      <c r="N291" s="43" t="n"/>
      <c r="O291" s="43" t="n"/>
    </row>
    <row r="292">
      <c r="A292" s="93" t="n"/>
      <c r="B292" s="93" t="n"/>
      <c r="C292" s="93" t="n"/>
      <c r="D292" s="93" t="n"/>
      <c r="E292" s="93" t="n"/>
      <c r="F292" s="93" t="n"/>
      <c r="G292" s="93" t="n"/>
      <c r="H292" s="93" t="n"/>
      <c r="I292" s="93" t="n"/>
      <c r="J292" s="43" t="n"/>
      <c r="K292" s="43" t="n"/>
      <c r="L292" s="43" t="n"/>
      <c r="M292" s="59" t="n"/>
      <c r="N292" s="43" t="n"/>
      <c r="O292" s="43" t="n"/>
    </row>
    <row r="293">
      <c r="A293" s="93" t="n"/>
      <c r="B293" s="93" t="n"/>
      <c r="C293" s="93" t="n"/>
      <c r="D293" s="93" t="n"/>
      <c r="E293" s="93" t="n"/>
      <c r="F293" s="93" t="n"/>
      <c r="G293" s="93" t="n"/>
      <c r="H293" s="93" t="n"/>
      <c r="I293" s="93" t="n"/>
      <c r="J293" s="43" t="n"/>
      <c r="K293" s="43" t="n"/>
      <c r="L293" s="43" t="n"/>
      <c r="M293" s="59" t="n"/>
      <c r="N293" s="43" t="n"/>
      <c r="O293" s="43" t="n"/>
    </row>
    <row r="294">
      <c r="A294" s="93" t="n"/>
      <c r="B294" s="93" t="n"/>
      <c r="C294" s="93" t="n"/>
      <c r="D294" s="93" t="n"/>
      <c r="E294" s="93" t="n"/>
      <c r="F294" s="93" t="n"/>
      <c r="G294" s="93" t="n"/>
      <c r="H294" s="93" t="n"/>
      <c r="I294" s="93" t="n"/>
      <c r="J294" s="43" t="n"/>
      <c r="K294" s="43" t="n"/>
      <c r="L294" s="43" t="n"/>
      <c r="M294" s="59" t="n"/>
      <c r="N294" s="43" t="n"/>
      <c r="O294" s="43" t="n"/>
    </row>
    <row r="295">
      <c r="A295" s="93" t="n"/>
      <c r="B295" s="93" t="n"/>
      <c r="C295" s="93" t="n"/>
      <c r="D295" s="93" t="n"/>
      <c r="E295" s="93" t="n"/>
      <c r="F295" s="93" t="n"/>
      <c r="G295" s="93" t="n"/>
      <c r="H295" s="93" t="n"/>
      <c r="I295" s="93" t="n"/>
      <c r="J295" s="43" t="n"/>
      <c r="K295" s="43" t="n"/>
      <c r="L295" s="43" t="n"/>
      <c r="M295" s="59" t="n"/>
      <c r="N295" s="43" t="n"/>
      <c r="O295" s="43" t="n"/>
    </row>
    <row r="296">
      <c r="A296" s="93" t="n"/>
      <c r="B296" s="93" t="n"/>
      <c r="C296" s="93" t="n"/>
      <c r="D296" s="93" t="n"/>
      <c r="E296" s="93" t="n"/>
      <c r="F296" s="93" t="n"/>
      <c r="G296" s="93" t="n"/>
      <c r="H296" s="93" t="n"/>
      <c r="I296" s="93" t="n"/>
      <c r="J296" s="43" t="n"/>
      <c r="K296" s="43" t="n"/>
      <c r="L296" s="43" t="n"/>
      <c r="M296" s="59" t="n"/>
      <c r="N296" s="43" t="n"/>
      <c r="O296" s="43" t="n"/>
    </row>
    <row r="297">
      <c r="A297" s="93" t="n"/>
      <c r="B297" s="93" t="n"/>
      <c r="C297" s="93" t="n"/>
      <c r="D297" s="93" t="n"/>
      <c r="E297" s="93" t="n"/>
      <c r="F297" s="93" t="n"/>
      <c r="G297" s="93" t="n"/>
      <c r="H297" s="93" t="n"/>
      <c r="I297" s="93" t="n"/>
      <c r="J297" s="43" t="n"/>
      <c r="K297" s="43" t="n"/>
      <c r="L297" s="43" t="n"/>
      <c r="M297" s="59" t="n"/>
      <c r="N297" s="43" t="n"/>
      <c r="O297" s="43" t="n"/>
    </row>
    <row r="298">
      <c r="A298" s="93" t="n"/>
      <c r="B298" s="93" t="n"/>
      <c r="C298" s="93" t="n"/>
      <c r="D298" s="93" t="n"/>
      <c r="E298" s="93" t="n"/>
      <c r="F298" s="93" t="n"/>
      <c r="G298" s="93" t="n"/>
      <c r="H298" s="93" t="n"/>
      <c r="I298" s="93" t="n"/>
      <c r="J298" s="43" t="n"/>
      <c r="K298" s="43" t="n"/>
      <c r="L298" s="43" t="n"/>
      <c r="M298" s="59" t="n"/>
      <c r="N298" s="43" t="n"/>
      <c r="O298" s="43" t="n"/>
    </row>
    <row r="299">
      <c r="A299" s="93" t="n"/>
      <c r="B299" s="93" t="n"/>
      <c r="C299" s="93" t="n"/>
      <c r="D299" s="93" t="n"/>
      <c r="E299" s="93" t="n"/>
      <c r="F299" s="93" t="n"/>
      <c r="G299" s="93" t="n"/>
      <c r="H299" s="93" t="n"/>
      <c r="I299" s="93" t="n"/>
      <c r="J299" s="43" t="n"/>
      <c r="K299" s="43" t="n"/>
      <c r="L299" s="43" t="n"/>
      <c r="M299" s="59" t="n"/>
      <c r="N299" s="43" t="n"/>
      <c r="O299" s="43" t="n"/>
    </row>
    <row r="300">
      <c r="A300" s="93" t="n"/>
      <c r="B300" s="93" t="n"/>
      <c r="C300" s="93" t="n"/>
      <c r="D300" s="93" t="n"/>
      <c r="E300" s="93" t="n"/>
      <c r="F300" s="93" t="n"/>
      <c r="G300" s="93" t="n"/>
      <c r="H300" s="93" t="n"/>
      <c r="I300" s="93" t="n"/>
      <c r="J300" s="43" t="n"/>
      <c r="K300" s="43" t="n"/>
      <c r="L300" s="43" t="n"/>
      <c r="M300" s="59" t="n"/>
      <c r="N300" s="43" t="n"/>
      <c r="O300" s="43" t="n"/>
    </row>
  </sheetData>
  <autoFilter ref="A4:O138"/>
  <mergeCells count="4">
    <mergeCell ref="A1:O1"/>
    <mergeCell ref="A3:I3"/>
    <mergeCell ref="A2:O2"/>
    <mergeCell ref="J3:O3"/>
  </mergeCells>
  <conditionalFormatting sqref="F5:F300">
    <cfRule type="cellIs" priority="7" operator="equal" dxfId="18">
      <formula>"P1"</formula>
    </cfRule>
    <cfRule type="cellIs" priority="8" operator="equal" dxfId="17">
      <formula>"P2"</formula>
    </cfRule>
    <cfRule type="cellIs" priority="9" operator="equal" dxfId="16">
      <formula>"P3"</formula>
    </cfRule>
  </conditionalFormatting>
  <conditionalFormatting sqref="K5:K300">
    <cfRule type="cellIs" priority="1" operator="equal" dxfId="15">
      <formula>"À tester"</formula>
    </cfRule>
    <cfRule type="cellIs" priority="2" operator="equal" dxfId="4">
      <formula>"En cours"</formula>
    </cfRule>
    <cfRule type="cellIs" priority="3" operator="equal" dxfId="1">
      <formula>"OK"</formula>
    </cfRule>
    <cfRule type="cellIs" priority="4" operator="equal" dxfId="5">
      <formula>"KO"</formula>
    </cfRule>
    <cfRule type="cellIs" priority="5" operator="equal" dxfId="2">
      <formula>"Bloqué"</formula>
    </cfRule>
    <cfRule type="cellIs" priority="6" operator="equal" dxfId="0">
      <formula>"Non applicable"</formula>
    </cfRule>
  </conditionalFormatting>
  <dataValidations count="3">
    <dataValidation sqref="K5:K300" showDropDown="0" showInputMessage="0" showErrorMessage="1" allowBlank="1" errorTitle="Statut" error="Choisir une valeur dans la liste." type="list">
      <formula1>"À tester,En cours,OK,KO,Bloqué,Non applicable"</formula1>
    </dataValidation>
    <dataValidation sqref="F5:F300" showDropDown="0" showInputMessage="0" showErrorMessage="1" allowBlank="1" errorTitle="Priorité" error="Choisir une valeur dans la liste." type="list">
      <formula1>"P1,P2,P3"</formula1>
    </dataValidation>
    <dataValidation sqref="M5:M300" showDropDown="0" showInputMessage="0" showErrorMessage="1" allowBlank="1" errorTitle="Date" error="Saisir une date valide (JJ/MM/AAAA)." type="date" operator="greaterThan">
      <formula1>46023</formula1>
    </dataValidation>
  </dataValidations>
  <pageMargins left="0.4" right="0.4" top="1" bottom="1" header="0.5" footer="0.5"/>
  <pageSetup orientation="landscape" paperSize="9" fitToHeight="0"/>
  <headerFooter>
    <oddHeader/>
    <oddFooter>&amp;LAgri-Digit Bénin · Cahier de recette&amp;RPage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C0392B"/>
    <outlinePr summaryBelow="1" summaryRight="1"/>
    <pageSetUpPr fitToPage="1"/>
  </sheetPr>
  <dimension ref="A1:L104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8671875" defaultRowHeight="14.4"/>
  <cols>
    <col width="11" customWidth="1" style="73" min="1" max="1"/>
    <col width="12" customWidth="1" style="73" min="2" max="3"/>
    <col width="24" customWidth="1" style="73" min="4" max="4"/>
    <col width="36" customWidth="1" style="73" min="5" max="5"/>
    <col width="56" customWidth="1" style="73" min="6" max="6"/>
    <col width="13" customWidth="1" style="73" min="7" max="7"/>
    <col width="14" customWidth="1" style="73" min="8" max="8"/>
    <col width="16" customWidth="1" style="73" min="9" max="10"/>
    <col width="14" customWidth="1" style="73" min="11" max="11"/>
    <col width="36" customWidth="1" style="73" min="12" max="12"/>
  </cols>
  <sheetData>
    <row r="1" ht="34.05" customHeight="1" s="73">
      <c r="A1" s="89" t="inlineStr">
        <is>
          <t>Cahier de recette · Registre des anomalies</t>
        </is>
      </c>
    </row>
    <row r="2">
      <c r="A2" s="72" t="inlineStr">
        <is>
          <t>Une ligne par anomalie. Reporter le N° (ANO-001…) dans la colonne « N° anomalie » du cas de test concerné. La ligne EXEMPLE montre le format attendu.</t>
        </is>
      </c>
    </row>
    <row r="3" ht="6" customHeight="1" s="73"/>
    <row r="4" ht="34.05" customHeight="1" s="73">
      <c r="A4" s="2" t="inlineStr">
        <is>
          <t>N°</t>
        </is>
      </c>
      <c r="B4" s="2" t="inlineStr">
        <is>
          <t>Date</t>
        </is>
      </c>
      <c r="C4" s="2" t="inlineStr">
        <is>
          <t>Cas de test</t>
        </is>
      </c>
      <c r="D4" s="2" t="inlineStr">
        <is>
          <t>Module</t>
        </is>
      </c>
      <c r="E4" s="2" t="inlineStr">
        <is>
          <t>Titre</t>
        </is>
      </c>
      <c r="F4" s="2" t="inlineStr">
        <is>
          <t>Description et étapes pour reproduire</t>
        </is>
      </c>
      <c r="G4" s="2" t="inlineStr">
        <is>
          <t>Gravité</t>
        </is>
      </c>
      <c r="H4" s="2" t="inlineStr">
        <is>
          <t>Statut</t>
        </is>
      </c>
      <c r="I4" s="2" t="inlineStr">
        <is>
          <t>Rapporteur</t>
        </is>
      </c>
      <c r="J4" s="2" t="inlineStr">
        <is>
          <t>Assigné à</t>
        </is>
      </c>
      <c r="K4" s="2" t="inlineStr">
        <is>
          <t>Date de correction</t>
        </is>
      </c>
      <c r="L4" s="2" t="inlineStr">
        <is>
          <t>Commentaire / version corrigée</t>
        </is>
      </c>
    </row>
    <row r="5" ht="59.25" customHeight="1" s="73">
      <c r="A5" s="60" t="inlineStr">
        <is>
          <t>EXEMPLE</t>
        </is>
      </c>
      <c r="B5" s="60" t="inlineStr">
        <is>
          <t>29/10/2026</t>
        </is>
      </c>
      <c r="C5" s="60" t="inlineStr">
        <is>
          <t>GOU-03</t>
        </is>
      </c>
      <c r="D5" s="61" t="inlineStr">
        <is>
          <t>Gouvernance et appuis</t>
        </is>
      </c>
      <c r="E5" s="61" t="inlineStr">
        <is>
          <t>Le bouton « Payer » reste inactif après le 1er paiement</t>
        </is>
      </c>
      <c r="F5" s="61" t="inlineStr">
        <is>
          <t>1. Producteur 0197000001, « Mes remboursements ».
2. Payer la 1re échéance (réussi).
3. Recharger : le bouton de la 2e échéance reste grisé.
Attendu : bouton actif sur la prochaine échéance.</t>
        </is>
      </c>
      <c r="G5" s="60" t="inlineStr">
        <is>
          <t>Majeure</t>
        </is>
      </c>
      <c r="H5" s="60" t="inlineStr">
        <is>
          <t>Fermée</t>
        </is>
      </c>
      <c r="I5" s="61" t="inlineStr">
        <is>
          <t>A. Dossou</t>
        </is>
      </c>
      <c r="J5" s="61" t="inlineStr">
        <is>
          <t>Équipe dev</t>
        </is>
      </c>
      <c r="K5" s="60" t="inlineStr">
        <is>
          <t>30/10/2026</t>
        </is>
      </c>
      <c r="L5" s="61" t="inlineStr">
        <is>
          <t>Exemple fictif : ne pas compter.</t>
        </is>
      </c>
    </row>
    <row r="6" ht="138" customHeight="1" s="73">
      <c r="A6" s="62" t="inlineStr">
        <is>
          <t>ANO-001</t>
        </is>
      </c>
      <c r="B6" s="98" t="n">
        <v>46323</v>
      </c>
      <c r="C6" s="62" t="inlineStr">
        <is>
          <t>GOU-05</t>
        </is>
      </c>
      <c r="D6" s="63" t="inlineStr">
        <is>
          <t>Gouvernance et appuis</t>
        </is>
      </c>
      <c r="E6" s="63" t="inlineStr">
        <is>
          <t>Nombre de fermes évaluées différent de celui du cahier (38 468 au lieu de 10 053)</t>
        </is>
      </c>
      <c r="F6" s="63" t="inlineStr">
        <is>
          <t>1. Responsable de programme (0197000004), « Sélections », « Nouvelle sélection » : 2 000 bénéficiaires, poids 0,5 / 0,3 / 0,2, département Alibori.
2. Lancer.
Obtenu : 2 000 retenus sur 38 468 fermes évaluées (API selection-runs, total_count).
Attendu : 10 053 fermes évaluées, chiffre du cahier et de docs/demo/RELEVES_PARCOURS.md (relevé du 19/10).
À trancher : mettre à jour la documentation et le cahier, ou corriger le jeu de fermes de démonstration.</t>
        </is>
      </c>
      <c r="G6" s="62" t="inlineStr">
        <is>
          <t>Mineure</t>
        </is>
      </c>
      <c r="H6" s="62" t="inlineStr">
        <is>
          <t>Ouverte</t>
        </is>
      </c>
      <c r="I6" s="63" t="inlineStr">
        <is>
          <t>Claude (essai automatisé)</t>
        </is>
      </c>
      <c r="J6" s="63" t="n"/>
      <c r="K6" s="62" t="n"/>
      <c r="L6" s="63" t="n"/>
    </row>
    <row r="7" ht="138" customHeight="1" s="73">
      <c r="A7" s="62" t="inlineStr">
        <is>
          <t>ANO-002</t>
        </is>
      </c>
      <c r="B7" s="98" t="n">
        <v>46323</v>
      </c>
      <c r="C7" s="62" t="inlineStr">
        <is>
          <t>REG-01</t>
        </is>
      </c>
      <c r="D7" s="63" t="inlineStr">
        <is>
          <t>Registre acteurs et actifs</t>
        </is>
      </c>
      <c r="E7" s="63" t="inlineStr">
        <is>
          <t>Fiche de démonstration du cas REG-01 déjà inscrite : l'étape 2 ne peut pas être rejouée</t>
        </is>
      </c>
      <c r="F7" s="63" t="inlineStr">
        <is>
          <t>1. Déconnecté, « S'inscrire ».
2. NPI 1000000002, Awa SABI, téléphone 0197000099, consentement coché, valider.
Obtenu : refus 409 « Ce producteur est déjà inscrit (NPI ou téléphone) » ; la fiche BJ-AGR-2026-000043 a été créée par les données de démonstration le 20/10 (journal d'audit).
Attendu : fiche créée au statut « en attente ».
Correction proposée : dans le cahier, utiliser le bouton « Démo » du formulaire (fiche neuve, NPI commençant par 8) ou réinitialiser les données avant la recette.</t>
        </is>
      </c>
      <c r="G7" s="62" t="inlineStr">
        <is>
          <t>Mineure</t>
        </is>
      </c>
      <c r="H7" s="62" t="inlineStr">
        <is>
          <t>Ouverte</t>
        </is>
      </c>
      <c r="I7" s="63" t="inlineStr">
        <is>
          <t>Claude (essai automatisé)</t>
        </is>
      </c>
      <c r="J7" s="63" t="n"/>
      <c r="K7" s="62" t="n"/>
      <c r="L7" s="63" t="n"/>
    </row>
    <row r="8" ht="164" customHeight="1" s="73">
      <c r="A8" s="62" t="inlineStr">
        <is>
          <t>ANO-003</t>
        </is>
      </c>
      <c r="B8" s="98" t="n">
        <v>46323</v>
      </c>
      <c r="C8" s="62" t="inlineStr">
        <is>
          <t>SCO-03</t>
        </is>
      </c>
      <c r="D8" s="63" t="inlineStr">
        <is>
          <t>Scoring crédit et aléas climatiques</t>
        </is>
      </c>
      <c r="E8" s="63" t="inlineStr">
        <is>
          <t>Cas SCO-03 : le facteur « Appuis remboursés » ne bouge pas quand on paie une échéance à venir</t>
        </is>
      </c>
      <c r="F8" s="63" t="inlineStr">
        <is>
          <t>1. Agent financier : ouvrir un prêt à un producteur consentant.
2. Producteur : payer une échéance (FakePay réussi).
3. Revoir le score.
Obtenu : facteur « Appuis remboursés » inchangé à 0,5 (score 79).
Explication : le facteur ne compte que les échéances échues payées et reste neutre tant qu'aucune n'est échue (apps/credit/services.py).
Attendu par le cahier : le facteur suit les échéances payées.
Correction proposée : préciser le cas (échéance échue exigée) ou le rejouer avec une échéance échue.</t>
        </is>
      </c>
      <c r="G8" s="62" t="inlineStr">
        <is>
          <t>Cosmétique</t>
        </is>
      </c>
      <c r="H8" s="62" t="inlineStr">
        <is>
          <t>Ouverte</t>
        </is>
      </c>
      <c r="I8" s="63" t="inlineStr">
        <is>
          <t>Claude (essai automatisé)</t>
        </is>
      </c>
      <c r="J8" s="63" t="n"/>
      <c r="K8" s="62" t="n"/>
      <c r="L8" s="63" t="n"/>
    </row>
    <row r="9">
      <c r="A9" s="62" t="n"/>
      <c r="B9" s="62" t="n"/>
      <c r="C9" s="62" t="n"/>
      <c r="D9" s="63" t="n"/>
      <c r="E9" s="63" t="n"/>
      <c r="F9" s="63" t="n"/>
      <c r="G9" s="62" t="n"/>
      <c r="H9" s="62" t="n"/>
      <c r="I9" s="63" t="n"/>
      <c r="J9" s="63" t="n"/>
      <c r="K9" s="62" t="n"/>
      <c r="L9" s="63" t="n"/>
    </row>
    <row r="10">
      <c r="A10" s="62" t="n"/>
      <c r="B10" s="62" t="n"/>
      <c r="C10" s="62" t="n"/>
      <c r="D10" s="63" t="n"/>
      <c r="E10" s="63" t="n"/>
      <c r="F10" s="63" t="n"/>
      <c r="G10" s="62" t="n"/>
      <c r="H10" s="62" t="n"/>
      <c r="I10" s="63" t="n"/>
      <c r="J10" s="63" t="n"/>
      <c r="K10" s="62" t="n"/>
      <c r="L10" s="63" t="n"/>
    </row>
    <row r="11">
      <c r="A11" s="62" t="n"/>
      <c r="B11" s="62" t="n"/>
      <c r="C11" s="62" t="n"/>
      <c r="D11" s="63" t="n"/>
      <c r="E11" s="63" t="n"/>
      <c r="F11" s="63" t="n"/>
      <c r="G11" s="62" t="n"/>
      <c r="H11" s="62" t="n"/>
      <c r="I11" s="63" t="n"/>
      <c r="J11" s="63" t="n"/>
      <c r="K11" s="62" t="n"/>
      <c r="L11" s="63" t="n"/>
    </row>
    <row r="12">
      <c r="A12" s="62" t="n"/>
      <c r="B12" s="62" t="n"/>
      <c r="C12" s="62" t="n"/>
      <c r="D12" s="63" t="n"/>
      <c r="E12" s="63" t="n"/>
      <c r="F12" s="63" t="n"/>
      <c r="G12" s="62" t="n"/>
      <c r="H12" s="62" t="n"/>
      <c r="I12" s="63" t="n"/>
      <c r="J12" s="63" t="n"/>
      <c r="K12" s="62" t="n"/>
      <c r="L12" s="63" t="n"/>
    </row>
    <row r="13">
      <c r="A13" s="62" t="n"/>
      <c r="B13" s="62" t="n"/>
      <c r="C13" s="62" t="n"/>
      <c r="D13" s="63" t="n"/>
      <c r="E13" s="63" t="n"/>
      <c r="F13" s="63" t="n"/>
      <c r="G13" s="62" t="n"/>
      <c r="H13" s="62" t="n"/>
      <c r="I13" s="63" t="n"/>
      <c r="J13" s="63" t="n"/>
      <c r="K13" s="62" t="n"/>
      <c r="L13" s="63" t="n"/>
    </row>
    <row r="14">
      <c r="A14" s="62" t="n"/>
      <c r="B14" s="62" t="n"/>
      <c r="C14" s="62" t="n"/>
      <c r="D14" s="63" t="n"/>
      <c r="E14" s="63" t="n"/>
      <c r="F14" s="63" t="n"/>
      <c r="G14" s="62" t="n"/>
      <c r="H14" s="62" t="n"/>
      <c r="I14" s="63" t="n"/>
      <c r="J14" s="63" t="n"/>
      <c r="K14" s="62" t="n"/>
      <c r="L14" s="63" t="n"/>
    </row>
    <row r="15">
      <c r="A15" s="62" t="n"/>
      <c r="B15" s="62" t="n"/>
      <c r="C15" s="62" t="n"/>
      <c r="D15" s="63" t="n"/>
      <c r="E15" s="63" t="n"/>
      <c r="F15" s="63" t="n"/>
      <c r="G15" s="62" t="n"/>
      <c r="H15" s="62" t="n"/>
      <c r="I15" s="63" t="n"/>
      <c r="J15" s="63" t="n"/>
      <c r="K15" s="62" t="n"/>
      <c r="L15" s="63" t="n"/>
    </row>
    <row r="16">
      <c r="A16" s="62" t="n"/>
      <c r="B16" s="62" t="n"/>
      <c r="C16" s="62" t="n"/>
      <c r="D16" s="63" t="n"/>
      <c r="E16" s="63" t="n"/>
      <c r="F16" s="63" t="n"/>
      <c r="G16" s="62" t="n"/>
      <c r="H16" s="62" t="n"/>
      <c r="I16" s="63" t="n"/>
      <c r="J16" s="63" t="n"/>
      <c r="K16" s="62" t="n"/>
      <c r="L16" s="63" t="n"/>
    </row>
    <row r="17">
      <c r="A17" s="62" t="n"/>
      <c r="B17" s="62" t="n"/>
      <c r="C17" s="62" t="n"/>
      <c r="D17" s="63" t="n"/>
      <c r="E17" s="63" t="n"/>
      <c r="F17" s="63" t="n"/>
      <c r="G17" s="62" t="n"/>
      <c r="H17" s="62" t="n"/>
      <c r="I17" s="63" t="n"/>
      <c r="J17" s="63" t="n"/>
      <c r="K17" s="62" t="n"/>
      <c r="L17" s="63" t="n"/>
    </row>
    <row r="18">
      <c r="A18" s="62" t="n"/>
      <c r="B18" s="62" t="n"/>
      <c r="C18" s="62" t="n"/>
      <c r="D18" s="63" t="n"/>
      <c r="E18" s="63" t="n"/>
      <c r="F18" s="63" t="n"/>
      <c r="G18" s="62" t="n"/>
      <c r="H18" s="62" t="n"/>
      <c r="I18" s="63" t="n"/>
      <c r="J18" s="63" t="n"/>
      <c r="K18" s="62" t="n"/>
      <c r="L18" s="63" t="n"/>
    </row>
    <row r="19">
      <c r="A19" s="62" t="n"/>
      <c r="B19" s="62" t="n"/>
      <c r="C19" s="62" t="n"/>
      <c r="D19" s="63" t="n"/>
      <c r="E19" s="63" t="n"/>
      <c r="F19" s="63" t="n"/>
      <c r="G19" s="62" t="n"/>
      <c r="H19" s="62" t="n"/>
      <c r="I19" s="63" t="n"/>
      <c r="J19" s="63" t="n"/>
      <c r="K19" s="62" t="n"/>
      <c r="L19" s="63" t="n"/>
    </row>
    <row r="20">
      <c r="A20" s="62" t="n"/>
      <c r="B20" s="62" t="n"/>
      <c r="C20" s="62" t="n"/>
      <c r="D20" s="63" t="n"/>
      <c r="E20" s="63" t="n"/>
      <c r="F20" s="63" t="n"/>
      <c r="G20" s="62" t="n"/>
      <c r="H20" s="62" t="n"/>
      <c r="I20" s="63" t="n"/>
      <c r="J20" s="63" t="n"/>
      <c r="K20" s="62" t="n"/>
      <c r="L20" s="63" t="n"/>
    </row>
    <row r="21">
      <c r="A21" s="62" t="n"/>
      <c r="B21" s="62" t="n"/>
      <c r="C21" s="62" t="n"/>
      <c r="D21" s="63" t="n"/>
      <c r="E21" s="63" t="n"/>
      <c r="F21" s="63" t="n"/>
      <c r="G21" s="62" t="n"/>
      <c r="H21" s="62" t="n"/>
      <c r="I21" s="63" t="n"/>
      <c r="J21" s="63" t="n"/>
      <c r="K21" s="62" t="n"/>
      <c r="L21" s="63" t="n"/>
    </row>
    <row r="22">
      <c r="A22" s="62" t="n"/>
      <c r="B22" s="62" t="n"/>
      <c r="C22" s="62" t="n"/>
      <c r="D22" s="63" t="n"/>
      <c r="E22" s="63" t="n"/>
      <c r="F22" s="63" t="n"/>
      <c r="G22" s="62" t="n"/>
      <c r="H22" s="62" t="n"/>
      <c r="I22" s="63" t="n"/>
      <c r="J22" s="63" t="n"/>
      <c r="K22" s="62" t="n"/>
      <c r="L22" s="63" t="n"/>
    </row>
    <row r="23">
      <c r="A23" s="62" t="n"/>
      <c r="B23" s="62" t="n"/>
      <c r="C23" s="62" t="n"/>
      <c r="D23" s="63" t="n"/>
      <c r="E23" s="63" t="n"/>
      <c r="F23" s="63" t="n"/>
      <c r="G23" s="62" t="n"/>
      <c r="H23" s="62" t="n"/>
      <c r="I23" s="63" t="n"/>
      <c r="J23" s="63" t="n"/>
      <c r="K23" s="62" t="n"/>
      <c r="L23" s="63" t="n"/>
    </row>
    <row r="24">
      <c r="A24" s="62" t="n"/>
      <c r="B24" s="62" t="n"/>
      <c r="C24" s="62" t="n"/>
      <c r="D24" s="63" t="n"/>
      <c r="E24" s="63" t="n"/>
      <c r="F24" s="63" t="n"/>
      <c r="G24" s="62" t="n"/>
      <c r="H24" s="62" t="n"/>
      <c r="I24" s="63" t="n"/>
      <c r="J24" s="63" t="n"/>
      <c r="K24" s="62" t="n"/>
      <c r="L24" s="63" t="n"/>
    </row>
    <row r="25">
      <c r="A25" s="62" t="n"/>
      <c r="B25" s="62" t="n"/>
      <c r="C25" s="62" t="n"/>
      <c r="D25" s="63" t="n"/>
      <c r="E25" s="63" t="n"/>
      <c r="F25" s="63" t="n"/>
      <c r="G25" s="62" t="n"/>
      <c r="H25" s="62" t="n"/>
      <c r="I25" s="63" t="n"/>
      <c r="J25" s="63" t="n"/>
      <c r="K25" s="62" t="n"/>
      <c r="L25" s="63" t="n"/>
    </row>
    <row r="26">
      <c r="A26" s="62" t="n"/>
      <c r="B26" s="62" t="n"/>
      <c r="C26" s="62" t="n"/>
      <c r="D26" s="63" t="n"/>
      <c r="E26" s="63" t="n"/>
      <c r="F26" s="63" t="n"/>
      <c r="G26" s="62" t="n"/>
      <c r="H26" s="62" t="n"/>
      <c r="I26" s="63" t="n"/>
      <c r="J26" s="63" t="n"/>
      <c r="K26" s="62" t="n"/>
      <c r="L26" s="63" t="n"/>
    </row>
    <row r="27">
      <c r="A27" s="62" t="n"/>
      <c r="B27" s="62" t="n"/>
      <c r="C27" s="62" t="n"/>
      <c r="D27" s="63" t="n"/>
      <c r="E27" s="63" t="n"/>
      <c r="F27" s="63" t="n"/>
      <c r="G27" s="62" t="n"/>
      <c r="H27" s="62" t="n"/>
      <c r="I27" s="63" t="n"/>
      <c r="J27" s="63" t="n"/>
      <c r="K27" s="62" t="n"/>
      <c r="L27" s="63" t="n"/>
    </row>
    <row r="28">
      <c r="A28" s="62" t="n"/>
      <c r="B28" s="62" t="n"/>
      <c r="C28" s="62" t="n"/>
      <c r="D28" s="63" t="n"/>
      <c r="E28" s="63" t="n"/>
      <c r="F28" s="63" t="n"/>
      <c r="G28" s="62" t="n"/>
      <c r="H28" s="62" t="n"/>
      <c r="I28" s="63" t="n"/>
      <c r="J28" s="63" t="n"/>
      <c r="K28" s="62" t="n"/>
      <c r="L28" s="63" t="n"/>
    </row>
    <row r="29">
      <c r="A29" s="62" t="n"/>
      <c r="B29" s="62" t="n"/>
      <c r="C29" s="62" t="n"/>
      <c r="D29" s="63" t="n"/>
      <c r="E29" s="63" t="n"/>
      <c r="F29" s="63" t="n"/>
      <c r="G29" s="62" t="n"/>
      <c r="H29" s="62" t="n"/>
      <c r="I29" s="63" t="n"/>
      <c r="J29" s="63" t="n"/>
      <c r="K29" s="62" t="n"/>
      <c r="L29" s="63" t="n"/>
    </row>
    <row r="30">
      <c r="A30" s="62" t="n"/>
      <c r="B30" s="62" t="n"/>
      <c r="C30" s="62" t="n"/>
      <c r="D30" s="63" t="n"/>
      <c r="E30" s="63" t="n"/>
      <c r="F30" s="63" t="n"/>
      <c r="G30" s="62" t="n"/>
      <c r="H30" s="62" t="n"/>
      <c r="I30" s="63" t="n"/>
      <c r="J30" s="63" t="n"/>
      <c r="K30" s="62" t="n"/>
      <c r="L30" s="63" t="n"/>
    </row>
    <row r="31">
      <c r="A31" s="62" t="n"/>
      <c r="B31" s="62" t="n"/>
      <c r="C31" s="62" t="n"/>
      <c r="D31" s="63" t="n"/>
      <c r="E31" s="63" t="n"/>
      <c r="F31" s="63" t="n"/>
      <c r="G31" s="62" t="n"/>
      <c r="H31" s="62" t="n"/>
      <c r="I31" s="63" t="n"/>
      <c r="J31" s="63" t="n"/>
      <c r="K31" s="62" t="n"/>
      <c r="L31" s="63" t="n"/>
    </row>
    <row r="32">
      <c r="A32" s="62" t="n"/>
      <c r="B32" s="62" t="n"/>
      <c r="C32" s="62" t="n"/>
      <c r="D32" s="63" t="n"/>
      <c r="E32" s="63" t="n"/>
      <c r="F32" s="63" t="n"/>
      <c r="G32" s="62" t="n"/>
      <c r="H32" s="62" t="n"/>
      <c r="I32" s="63" t="n"/>
      <c r="J32" s="63" t="n"/>
      <c r="K32" s="62" t="n"/>
      <c r="L32" s="63" t="n"/>
    </row>
    <row r="33">
      <c r="A33" s="62" t="n"/>
      <c r="B33" s="62" t="n"/>
      <c r="C33" s="62" t="n"/>
      <c r="D33" s="63" t="n"/>
      <c r="E33" s="63" t="n"/>
      <c r="F33" s="63" t="n"/>
      <c r="G33" s="62" t="n"/>
      <c r="H33" s="62" t="n"/>
      <c r="I33" s="63" t="n"/>
      <c r="J33" s="63" t="n"/>
      <c r="K33" s="62" t="n"/>
      <c r="L33" s="63" t="n"/>
    </row>
    <row r="34">
      <c r="A34" s="62" t="n"/>
      <c r="B34" s="62" t="n"/>
      <c r="C34" s="62" t="n"/>
      <c r="D34" s="63" t="n"/>
      <c r="E34" s="63" t="n"/>
      <c r="F34" s="63" t="n"/>
      <c r="G34" s="62" t="n"/>
      <c r="H34" s="62" t="n"/>
      <c r="I34" s="63" t="n"/>
      <c r="J34" s="63" t="n"/>
      <c r="K34" s="62" t="n"/>
      <c r="L34" s="63" t="n"/>
    </row>
    <row r="35">
      <c r="A35" s="62" t="n"/>
      <c r="B35" s="62" t="n"/>
      <c r="C35" s="62" t="n"/>
      <c r="D35" s="63" t="n"/>
      <c r="E35" s="63" t="n"/>
      <c r="F35" s="63" t="n"/>
      <c r="G35" s="62" t="n"/>
      <c r="H35" s="62" t="n"/>
      <c r="I35" s="63" t="n"/>
      <c r="J35" s="63" t="n"/>
      <c r="K35" s="62" t="n"/>
      <c r="L35" s="63" t="n"/>
    </row>
    <row r="36">
      <c r="A36" s="62" t="n"/>
      <c r="B36" s="62" t="n"/>
      <c r="C36" s="62" t="n"/>
      <c r="D36" s="63" t="n"/>
      <c r="E36" s="63" t="n"/>
      <c r="F36" s="63" t="n"/>
      <c r="G36" s="62" t="n"/>
      <c r="H36" s="62" t="n"/>
      <c r="I36" s="63" t="n"/>
      <c r="J36" s="63" t="n"/>
      <c r="K36" s="62" t="n"/>
      <c r="L36" s="63" t="n"/>
    </row>
    <row r="37">
      <c r="A37" s="62" t="n"/>
      <c r="B37" s="62" t="n"/>
      <c r="C37" s="62" t="n"/>
      <c r="D37" s="63" t="n"/>
      <c r="E37" s="63" t="n"/>
      <c r="F37" s="63" t="n"/>
      <c r="G37" s="62" t="n"/>
      <c r="H37" s="62" t="n"/>
      <c r="I37" s="63" t="n"/>
      <c r="J37" s="63" t="n"/>
      <c r="K37" s="62" t="n"/>
      <c r="L37" s="63" t="n"/>
    </row>
    <row r="38">
      <c r="A38" s="62" t="n"/>
      <c r="B38" s="62" t="n"/>
      <c r="C38" s="62" t="n"/>
      <c r="D38" s="63" t="n"/>
      <c r="E38" s="63" t="n"/>
      <c r="F38" s="63" t="n"/>
      <c r="G38" s="62" t="n"/>
      <c r="H38" s="62" t="n"/>
      <c r="I38" s="63" t="n"/>
      <c r="J38" s="63" t="n"/>
      <c r="K38" s="62" t="n"/>
      <c r="L38" s="63" t="n"/>
    </row>
    <row r="39">
      <c r="A39" s="62" t="n"/>
      <c r="B39" s="62" t="n"/>
      <c r="C39" s="62" t="n"/>
      <c r="D39" s="63" t="n"/>
      <c r="E39" s="63" t="n"/>
      <c r="F39" s="63" t="n"/>
      <c r="G39" s="62" t="n"/>
      <c r="H39" s="62" t="n"/>
      <c r="I39" s="63" t="n"/>
      <c r="J39" s="63" t="n"/>
      <c r="K39" s="62" t="n"/>
      <c r="L39" s="63" t="n"/>
    </row>
    <row r="40">
      <c r="A40" s="62" t="n"/>
      <c r="B40" s="62" t="n"/>
      <c r="C40" s="62" t="n"/>
      <c r="D40" s="63" t="n"/>
      <c r="E40" s="63" t="n"/>
      <c r="F40" s="63" t="n"/>
      <c r="G40" s="62" t="n"/>
      <c r="H40" s="62" t="n"/>
      <c r="I40" s="63" t="n"/>
      <c r="J40" s="63" t="n"/>
      <c r="K40" s="62" t="n"/>
      <c r="L40" s="63" t="n"/>
    </row>
    <row r="41">
      <c r="A41" s="62" t="n"/>
      <c r="B41" s="62" t="n"/>
      <c r="C41" s="62" t="n"/>
      <c r="D41" s="63" t="n"/>
      <c r="E41" s="63" t="n"/>
      <c r="F41" s="63" t="n"/>
      <c r="G41" s="62" t="n"/>
      <c r="H41" s="62" t="n"/>
      <c r="I41" s="63" t="n"/>
      <c r="J41" s="63" t="n"/>
      <c r="K41" s="62" t="n"/>
      <c r="L41" s="63" t="n"/>
    </row>
    <row r="42">
      <c r="A42" s="62" t="n"/>
      <c r="B42" s="62" t="n"/>
      <c r="C42" s="62" t="n"/>
      <c r="D42" s="63" t="n"/>
      <c r="E42" s="63" t="n"/>
      <c r="F42" s="63" t="n"/>
      <c r="G42" s="62" t="n"/>
      <c r="H42" s="62" t="n"/>
      <c r="I42" s="63" t="n"/>
      <c r="J42" s="63" t="n"/>
      <c r="K42" s="62" t="n"/>
      <c r="L42" s="63" t="n"/>
    </row>
    <row r="43">
      <c r="A43" s="62" t="n"/>
      <c r="B43" s="62" t="n"/>
      <c r="C43" s="62" t="n"/>
      <c r="D43" s="63" t="n"/>
      <c r="E43" s="63" t="n"/>
      <c r="F43" s="63" t="n"/>
      <c r="G43" s="62" t="n"/>
      <c r="H43" s="62" t="n"/>
      <c r="I43" s="63" t="n"/>
      <c r="J43" s="63" t="n"/>
      <c r="K43" s="62" t="n"/>
      <c r="L43" s="63" t="n"/>
    </row>
    <row r="44">
      <c r="A44" s="62" t="n"/>
      <c r="B44" s="62" t="n"/>
      <c r="C44" s="62" t="n"/>
      <c r="D44" s="63" t="n"/>
      <c r="E44" s="63" t="n"/>
      <c r="F44" s="63" t="n"/>
      <c r="G44" s="62" t="n"/>
      <c r="H44" s="62" t="n"/>
      <c r="I44" s="63" t="n"/>
      <c r="J44" s="63" t="n"/>
      <c r="K44" s="62" t="n"/>
      <c r="L44" s="63" t="n"/>
    </row>
    <row r="45">
      <c r="A45" s="62" t="n"/>
      <c r="B45" s="62" t="n"/>
      <c r="C45" s="62" t="n"/>
      <c r="D45" s="63" t="n"/>
      <c r="E45" s="63" t="n"/>
      <c r="F45" s="63" t="n"/>
      <c r="G45" s="62" t="n"/>
      <c r="H45" s="62" t="n"/>
      <c r="I45" s="63" t="n"/>
      <c r="J45" s="63" t="n"/>
      <c r="K45" s="62" t="n"/>
      <c r="L45" s="63" t="n"/>
    </row>
    <row r="46">
      <c r="A46" s="62" t="n"/>
      <c r="B46" s="62" t="n"/>
      <c r="C46" s="62" t="n"/>
      <c r="D46" s="63" t="n"/>
      <c r="E46" s="63" t="n"/>
      <c r="F46" s="63" t="n"/>
      <c r="G46" s="62" t="n"/>
      <c r="H46" s="62" t="n"/>
      <c r="I46" s="63" t="n"/>
      <c r="J46" s="63" t="n"/>
      <c r="K46" s="62" t="n"/>
      <c r="L46" s="63" t="n"/>
    </row>
    <row r="47">
      <c r="A47" s="62" t="n"/>
      <c r="B47" s="62" t="n"/>
      <c r="C47" s="62" t="n"/>
      <c r="D47" s="63" t="n"/>
      <c r="E47" s="63" t="n"/>
      <c r="F47" s="63" t="n"/>
      <c r="G47" s="62" t="n"/>
      <c r="H47" s="62" t="n"/>
      <c r="I47" s="63" t="n"/>
      <c r="J47" s="63" t="n"/>
      <c r="K47" s="62" t="n"/>
      <c r="L47" s="63" t="n"/>
    </row>
    <row r="48">
      <c r="A48" s="62" t="n"/>
      <c r="B48" s="62" t="n"/>
      <c r="C48" s="62" t="n"/>
      <c r="D48" s="63" t="n"/>
      <c r="E48" s="63" t="n"/>
      <c r="F48" s="63" t="n"/>
      <c r="G48" s="62" t="n"/>
      <c r="H48" s="62" t="n"/>
      <c r="I48" s="63" t="n"/>
      <c r="J48" s="63" t="n"/>
      <c r="K48" s="62" t="n"/>
      <c r="L48" s="63" t="n"/>
    </row>
    <row r="49">
      <c r="A49" s="62" t="n"/>
      <c r="B49" s="62" t="n"/>
      <c r="C49" s="62" t="n"/>
      <c r="D49" s="63" t="n"/>
      <c r="E49" s="63" t="n"/>
      <c r="F49" s="63" t="n"/>
      <c r="G49" s="62" t="n"/>
      <c r="H49" s="62" t="n"/>
      <c r="I49" s="63" t="n"/>
      <c r="J49" s="63" t="n"/>
      <c r="K49" s="62" t="n"/>
      <c r="L49" s="63" t="n"/>
    </row>
    <row r="50">
      <c r="A50" s="62" t="n"/>
      <c r="B50" s="62" t="n"/>
      <c r="C50" s="62" t="n"/>
      <c r="D50" s="63" t="n"/>
      <c r="E50" s="63" t="n"/>
      <c r="F50" s="63" t="n"/>
      <c r="G50" s="62" t="n"/>
      <c r="H50" s="62" t="n"/>
      <c r="I50" s="63" t="n"/>
      <c r="J50" s="63" t="n"/>
      <c r="K50" s="62" t="n"/>
      <c r="L50" s="63" t="n"/>
    </row>
    <row r="51">
      <c r="A51" s="62" t="n"/>
      <c r="B51" s="62" t="n"/>
      <c r="C51" s="62" t="n"/>
      <c r="D51" s="63" t="n"/>
      <c r="E51" s="63" t="n"/>
      <c r="F51" s="63" t="n"/>
      <c r="G51" s="62" t="n"/>
      <c r="H51" s="62" t="n"/>
      <c r="I51" s="63" t="n"/>
      <c r="J51" s="63" t="n"/>
      <c r="K51" s="62" t="n"/>
      <c r="L51" s="63" t="n"/>
    </row>
    <row r="52">
      <c r="A52" s="62" t="n"/>
      <c r="B52" s="62" t="n"/>
      <c r="C52" s="62" t="n"/>
      <c r="D52" s="63" t="n"/>
      <c r="E52" s="63" t="n"/>
      <c r="F52" s="63" t="n"/>
      <c r="G52" s="62" t="n"/>
      <c r="H52" s="62" t="n"/>
      <c r="I52" s="63" t="n"/>
      <c r="J52" s="63" t="n"/>
      <c r="K52" s="62" t="n"/>
      <c r="L52" s="63" t="n"/>
    </row>
    <row r="53">
      <c r="A53" s="62" t="n"/>
      <c r="B53" s="62" t="n"/>
      <c r="C53" s="62" t="n"/>
      <c r="D53" s="63" t="n"/>
      <c r="E53" s="63" t="n"/>
      <c r="F53" s="63" t="n"/>
      <c r="G53" s="62" t="n"/>
      <c r="H53" s="62" t="n"/>
      <c r="I53" s="63" t="n"/>
      <c r="J53" s="63" t="n"/>
      <c r="K53" s="62" t="n"/>
      <c r="L53" s="63" t="n"/>
    </row>
    <row r="54">
      <c r="A54" s="62" t="n"/>
      <c r="B54" s="62" t="n"/>
      <c r="C54" s="62" t="n"/>
      <c r="D54" s="63" t="n"/>
      <c r="E54" s="63" t="n"/>
      <c r="F54" s="63" t="n"/>
      <c r="G54" s="62" t="n"/>
      <c r="H54" s="62" t="n"/>
      <c r="I54" s="63" t="n"/>
      <c r="J54" s="63" t="n"/>
      <c r="K54" s="62" t="n"/>
      <c r="L54" s="63" t="n"/>
    </row>
    <row r="55">
      <c r="A55" s="62" t="n"/>
      <c r="B55" s="62" t="n"/>
      <c r="C55" s="62" t="n"/>
      <c r="D55" s="63" t="n"/>
      <c r="E55" s="63" t="n"/>
      <c r="F55" s="63" t="n"/>
      <c r="G55" s="62" t="n"/>
      <c r="H55" s="62" t="n"/>
      <c r="I55" s="63" t="n"/>
      <c r="J55" s="63" t="n"/>
      <c r="K55" s="62" t="n"/>
      <c r="L55" s="63" t="n"/>
    </row>
    <row r="56">
      <c r="A56" s="62" t="n"/>
      <c r="B56" s="62" t="n"/>
      <c r="C56" s="62" t="n"/>
      <c r="D56" s="63" t="n"/>
      <c r="E56" s="63" t="n"/>
      <c r="F56" s="63" t="n"/>
      <c r="G56" s="62" t="n"/>
      <c r="H56" s="62" t="n"/>
      <c r="I56" s="63" t="n"/>
      <c r="J56" s="63" t="n"/>
      <c r="K56" s="62" t="n"/>
      <c r="L56" s="63" t="n"/>
    </row>
    <row r="57">
      <c r="A57" s="62" t="n"/>
      <c r="B57" s="62" t="n"/>
      <c r="C57" s="62" t="n"/>
      <c r="D57" s="63" t="n"/>
      <c r="E57" s="63" t="n"/>
      <c r="F57" s="63" t="n"/>
      <c r="G57" s="62" t="n"/>
      <c r="H57" s="62" t="n"/>
      <c r="I57" s="63" t="n"/>
      <c r="J57" s="63" t="n"/>
      <c r="K57" s="62" t="n"/>
      <c r="L57" s="63" t="n"/>
    </row>
    <row r="58">
      <c r="A58" s="62" t="n"/>
      <c r="B58" s="62" t="n"/>
      <c r="C58" s="62" t="n"/>
      <c r="D58" s="63" t="n"/>
      <c r="E58" s="63" t="n"/>
      <c r="F58" s="63" t="n"/>
      <c r="G58" s="62" t="n"/>
      <c r="H58" s="62" t="n"/>
      <c r="I58" s="63" t="n"/>
      <c r="J58" s="63" t="n"/>
      <c r="K58" s="62" t="n"/>
      <c r="L58" s="63" t="n"/>
    </row>
    <row r="59">
      <c r="A59" s="62" t="n"/>
      <c r="B59" s="62" t="n"/>
      <c r="C59" s="62" t="n"/>
      <c r="D59" s="63" t="n"/>
      <c r="E59" s="63" t="n"/>
      <c r="F59" s="63" t="n"/>
      <c r="G59" s="62" t="n"/>
      <c r="H59" s="62" t="n"/>
      <c r="I59" s="63" t="n"/>
      <c r="J59" s="63" t="n"/>
      <c r="K59" s="62" t="n"/>
      <c r="L59" s="63" t="n"/>
    </row>
    <row r="60">
      <c r="A60" s="62" t="n"/>
      <c r="B60" s="62" t="n"/>
      <c r="C60" s="62" t="n"/>
      <c r="D60" s="63" t="n"/>
      <c r="E60" s="63" t="n"/>
      <c r="F60" s="63" t="n"/>
      <c r="G60" s="62" t="n"/>
      <c r="H60" s="62" t="n"/>
      <c r="I60" s="63" t="n"/>
      <c r="J60" s="63" t="n"/>
      <c r="K60" s="62" t="n"/>
      <c r="L60" s="63" t="n"/>
    </row>
    <row r="61">
      <c r="A61" s="62" t="n"/>
      <c r="B61" s="62" t="n"/>
      <c r="C61" s="62" t="n"/>
      <c r="D61" s="63" t="n"/>
      <c r="E61" s="63" t="n"/>
      <c r="F61" s="63" t="n"/>
      <c r="G61" s="62" t="n"/>
      <c r="H61" s="62" t="n"/>
      <c r="I61" s="63" t="n"/>
      <c r="J61" s="63" t="n"/>
      <c r="K61" s="62" t="n"/>
      <c r="L61" s="63" t="n"/>
    </row>
    <row r="62">
      <c r="A62" s="62" t="n"/>
      <c r="B62" s="62" t="n"/>
      <c r="C62" s="62" t="n"/>
      <c r="D62" s="63" t="n"/>
      <c r="E62" s="63" t="n"/>
      <c r="F62" s="63" t="n"/>
      <c r="G62" s="62" t="n"/>
      <c r="H62" s="62" t="n"/>
      <c r="I62" s="63" t="n"/>
      <c r="J62" s="63" t="n"/>
      <c r="K62" s="62" t="n"/>
      <c r="L62" s="63" t="n"/>
    </row>
    <row r="63">
      <c r="A63" s="62" t="n"/>
      <c r="B63" s="62" t="n"/>
      <c r="C63" s="62" t="n"/>
      <c r="D63" s="63" t="n"/>
      <c r="E63" s="63" t="n"/>
      <c r="F63" s="63" t="n"/>
      <c r="G63" s="62" t="n"/>
      <c r="H63" s="62" t="n"/>
      <c r="I63" s="63" t="n"/>
      <c r="J63" s="63" t="n"/>
      <c r="K63" s="62" t="n"/>
      <c r="L63" s="63" t="n"/>
    </row>
    <row r="64">
      <c r="A64" s="62" t="n"/>
      <c r="B64" s="62" t="n"/>
      <c r="C64" s="62" t="n"/>
      <c r="D64" s="63" t="n"/>
      <c r="E64" s="63" t="n"/>
      <c r="F64" s="63" t="n"/>
      <c r="G64" s="62" t="n"/>
      <c r="H64" s="62" t="n"/>
      <c r="I64" s="63" t="n"/>
      <c r="J64" s="63" t="n"/>
      <c r="K64" s="62" t="n"/>
      <c r="L64" s="63" t="n"/>
    </row>
    <row r="65">
      <c r="A65" s="62" t="n"/>
      <c r="B65" s="62" t="n"/>
      <c r="C65" s="62" t="n"/>
      <c r="D65" s="63" t="n"/>
      <c r="E65" s="63" t="n"/>
      <c r="F65" s="63" t="n"/>
      <c r="G65" s="62" t="n"/>
      <c r="H65" s="62" t="n"/>
      <c r="I65" s="63" t="n"/>
      <c r="J65" s="63" t="n"/>
      <c r="K65" s="62" t="n"/>
      <c r="L65" s="63" t="n"/>
    </row>
    <row r="66">
      <c r="A66" s="62" t="n"/>
      <c r="B66" s="62" t="n"/>
      <c r="C66" s="62" t="n"/>
      <c r="D66" s="63" t="n"/>
      <c r="E66" s="63" t="n"/>
      <c r="F66" s="63" t="n"/>
      <c r="G66" s="62" t="n"/>
      <c r="H66" s="62" t="n"/>
      <c r="I66" s="63" t="n"/>
      <c r="J66" s="63" t="n"/>
      <c r="K66" s="62" t="n"/>
      <c r="L66" s="63" t="n"/>
    </row>
    <row r="67">
      <c r="A67" s="62" t="n"/>
      <c r="B67" s="62" t="n"/>
      <c r="C67" s="62" t="n"/>
      <c r="D67" s="63" t="n"/>
      <c r="E67" s="63" t="n"/>
      <c r="F67" s="63" t="n"/>
      <c r="G67" s="62" t="n"/>
      <c r="H67" s="62" t="n"/>
      <c r="I67" s="63" t="n"/>
      <c r="J67" s="63" t="n"/>
      <c r="K67" s="62" t="n"/>
      <c r="L67" s="63" t="n"/>
    </row>
    <row r="68">
      <c r="A68" s="62" t="n"/>
      <c r="B68" s="62" t="n"/>
      <c r="C68" s="62" t="n"/>
      <c r="D68" s="63" t="n"/>
      <c r="E68" s="63" t="n"/>
      <c r="F68" s="63" t="n"/>
      <c r="G68" s="62" t="n"/>
      <c r="H68" s="62" t="n"/>
      <c r="I68" s="63" t="n"/>
      <c r="J68" s="63" t="n"/>
      <c r="K68" s="62" t="n"/>
      <c r="L68" s="63" t="n"/>
    </row>
    <row r="69">
      <c r="A69" s="62" t="n"/>
      <c r="B69" s="62" t="n"/>
      <c r="C69" s="62" t="n"/>
      <c r="D69" s="63" t="n"/>
      <c r="E69" s="63" t="n"/>
      <c r="F69" s="63" t="n"/>
      <c r="G69" s="62" t="n"/>
      <c r="H69" s="62" t="n"/>
      <c r="I69" s="63" t="n"/>
      <c r="J69" s="63" t="n"/>
      <c r="K69" s="62" t="n"/>
      <c r="L69" s="63" t="n"/>
    </row>
    <row r="70">
      <c r="A70" s="62" t="n"/>
      <c r="B70" s="62" t="n"/>
      <c r="C70" s="62" t="n"/>
      <c r="D70" s="63" t="n"/>
      <c r="E70" s="63" t="n"/>
      <c r="F70" s="63" t="n"/>
      <c r="G70" s="62" t="n"/>
      <c r="H70" s="62" t="n"/>
      <c r="I70" s="63" t="n"/>
      <c r="J70" s="63" t="n"/>
      <c r="K70" s="62" t="n"/>
      <c r="L70" s="63" t="n"/>
    </row>
    <row r="71">
      <c r="A71" s="62" t="n"/>
      <c r="B71" s="62" t="n"/>
      <c r="C71" s="62" t="n"/>
      <c r="D71" s="63" t="n"/>
      <c r="E71" s="63" t="n"/>
      <c r="F71" s="63" t="n"/>
      <c r="G71" s="62" t="n"/>
      <c r="H71" s="62" t="n"/>
      <c r="I71" s="63" t="n"/>
      <c r="J71" s="63" t="n"/>
      <c r="K71" s="62" t="n"/>
      <c r="L71" s="63" t="n"/>
    </row>
    <row r="72">
      <c r="A72" s="62" t="n"/>
      <c r="B72" s="62" t="n"/>
      <c r="C72" s="62" t="n"/>
      <c r="D72" s="63" t="n"/>
      <c r="E72" s="63" t="n"/>
      <c r="F72" s="63" t="n"/>
      <c r="G72" s="62" t="n"/>
      <c r="H72" s="62" t="n"/>
      <c r="I72" s="63" t="n"/>
      <c r="J72" s="63" t="n"/>
      <c r="K72" s="62" t="n"/>
      <c r="L72" s="63" t="n"/>
    </row>
    <row r="73">
      <c r="A73" s="62" t="n"/>
      <c r="B73" s="62" t="n"/>
      <c r="C73" s="62" t="n"/>
      <c r="D73" s="63" t="n"/>
      <c r="E73" s="63" t="n"/>
      <c r="F73" s="63" t="n"/>
      <c r="G73" s="62" t="n"/>
      <c r="H73" s="62" t="n"/>
      <c r="I73" s="63" t="n"/>
      <c r="J73" s="63" t="n"/>
      <c r="K73" s="62" t="n"/>
      <c r="L73" s="63" t="n"/>
    </row>
    <row r="74">
      <c r="A74" s="62" t="n"/>
      <c r="B74" s="62" t="n"/>
      <c r="C74" s="62" t="n"/>
      <c r="D74" s="63" t="n"/>
      <c r="E74" s="63" t="n"/>
      <c r="F74" s="63" t="n"/>
      <c r="G74" s="62" t="n"/>
      <c r="H74" s="62" t="n"/>
      <c r="I74" s="63" t="n"/>
      <c r="J74" s="63" t="n"/>
      <c r="K74" s="62" t="n"/>
      <c r="L74" s="63" t="n"/>
    </row>
    <row r="75">
      <c r="A75" s="62" t="n"/>
      <c r="B75" s="62" t="n"/>
      <c r="C75" s="62" t="n"/>
      <c r="D75" s="63" t="n"/>
      <c r="E75" s="63" t="n"/>
      <c r="F75" s="63" t="n"/>
      <c r="G75" s="62" t="n"/>
      <c r="H75" s="62" t="n"/>
      <c r="I75" s="63" t="n"/>
      <c r="J75" s="63" t="n"/>
      <c r="K75" s="62" t="n"/>
      <c r="L75" s="63" t="n"/>
    </row>
    <row r="76">
      <c r="A76" s="62" t="n"/>
      <c r="B76" s="62" t="n"/>
      <c r="C76" s="62" t="n"/>
      <c r="D76" s="63" t="n"/>
      <c r="E76" s="63" t="n"/>
      <c r="F76" s="63" t="n"/>
      <c r="G76" s="62" t="n"/>
      <c r="H76" s="62" t="n"/>
      <c r="I76" s="63" t="n"/>
      <c r="J76" s="63" t="n"/>
      <c r="K76" s="62" t="n"/>
      <c r="L76" s="63" t="n"/>
    </row>
    <row r="77">
      <c r="A77" s="62" t="n"/>
      <c r="B77" s="62" t="n"/>
      <c r="C77" s="62" t="n"/>
      <c r="D77" s="63" t="n"/>
      <c r="E77" s="63" t="n"/>
      <c r="F77" s="63" t="n"/>
      <c r="G77" s="62" t="n"/>
      <c r="H77" s="62" t="n"/>
      <c r="I77" s="63" t="n"/>
      <c r="J77" s="63" t="n"/>
      <c r="K77" s="62" t="n"/>
      <c r="L77" s="63" t="n"/>
    </row>
    <row r="78">
      <c r="A78" s="62" t="n"/>
      <c r="B78" s="62" t="n"/>
      <c r="C78" s="62" t="n"/>
      <c r="D78" s="63" t="n"/>
      <c r="E78" s="63" t="n"/>
      <c r="F78" s="63" t="n"/>
      <c r="G78" s="62" t="n"/>
      <c r="H78" s="62" t="n"/>
      <c r="I78" s="63" t="n"/>
      <c r="J78" s="63" t="n"/>
      <c r="K78" s="62" t="n"/>
      <c r="L78" s="63" t="n"/>
    </row>
    <row r="79">
      <c r="A79" s="62" t="n"/>
      <c r="B79" s="62" t="n"/>
      <c r="C79" s="62" t="n"/>
      <c r="D79" s="63" t="n"/>
      <c r="E79" s="63" t="n"/>
      <c r="F79" s="63" t="n"/>
      <c r="G79" s="62" t="n"/>
      <c r="H79" s="62" t="n"/>
      <c r="I79" s="63" t="n"/>
      <c r="J79" s="63" t="n"/>
      <c r="K79" s="62" t="n"/>
      <c r="L79" s="63" t="n"/>
    </row>
    <row r="80">
      <c r="A80" s="62" t="n"/>
      <c r="B80" s="62" t="n"/>
      <c r="C80" s="62" t="n"/>
      <c r="D80" s="63" t="n"/>
      <c r="E80" s="63" t="n"/>
      <c r="F80" s="63" t="n"/>
      <c r="G80" s="62" t="n"/>
      <c r="H80" s="62" t="n"/>
      <c r="I80" s="63" t="n"/>
      <c r="J80" s="63" t="n"/>
      <c r="K80" s="62" t="n"/>
      <c r="L80" s="63" t="n"/>
    </row>
    <row r="81">
      <c r="A81" s="62" t="n"/>
      <c r="B81" s="62" t="n"/>
      <c r="C81" s="62" t="n"/>
      <c r="D81" s="63" t="n"/>
      <c r="E81" s="63" t="n"/>
      <c r="F81" s="63" t="n"/>
      <c r="G81" s="62" t="n"/>
      <c r="H81" s="62" t="n"/>
      <c r="I81" s="63" t="n"/>
      <c r="J81" s="63" t="n"/>
      <c r="K81" s="62" t="n"/>
      <c r="L81" s="63" t="n"/>
    </row>
    <row r="82">
      <c r="A82" s="62" t="n"/>
      <c r="B82" s="62" t="n"/>
      <c r="C82" s="62" t="n"/>
      <c r="D82" s="63" t="n"/>
      <c r="E82" s="63" t="n"/>
      <c r="F82" s="63" t="n"/>
      <c r="G82" s="62" t="n"/>
      <c r="H82" s="62" t="n"/>
      <c r="I82" s="63" t="n"/>
      <c r="J82" s="63" t="n"/>
      <c r="K82" s="62" t="n"/>
      <c r="L82" s="63" t="n"/>
    </row>
    <row r="83">
      <c r="A83" s="62" t="n"/>
      <c r="B83" s="62" t="n"/>
      <c r="C83" s="62" t="n"/>
      <c r="D83" s="63" t="n"/>
      <c r="E83" s="63" t="n"/>
      <c r="F83" s="63" t="n"/>
      <c r="G83" s="62" t="n"/>
      <c r="H83" s="62" t="n"/>
      <c r="I83" s="63" t="n"/>
      <c r="J83" s="63" t="n"/>
      <c r="K83" s="62" t="n"/>
      <c r="L83" s="63" t="n"/>
    </row>
    <row r="84">
      <c r="A84" s="62" t="n"/>
      <c r="B84" s="62" t="n"/>
      <c r="C84" s="62" t="n"/>
      <c r="D84" s="63" t="n"/>
      <c r="E84" s="63" t="n"/>
      <c r="F84" s="63" t="n"/>
      <c r="G84" s="62" t="n"/>
      <c r="H84" s="62" t="n"/>
      <c r="I84" s="63" t="n"/>
      <c r="J84" s="63" t="n"/>
      <c r="K84" s="62" t="n"/>
      <c r="L84" s="63" t="n"/>
    </row>
    <row r="85">
      <c r="A85" s="62" t="n"/>
      <c r="B85" s="62" t="n"/>
      <c r="C85" s="62" t="n"/>
      <c r="D85" s="63" t="n"/>
      <c r="E85" s="63" t="n"/>
      <c r="F85" s="63" t="n"/>
      <c r="G85" s="62" t="n"/>
      <c r="H85" s="62" t="n"/>
      <c r="I85" s="63" t="n"/>
      <c r="J85" s="63" t="n"/>
      <c r="K85" s="62" t="n"/>
      <c r="L85" s="63" t="n"/>
    </row>
    <row r="86">
      <c r="A86" s="62" t="n"/>
      <c r="B86" s="62" t="n"/>
      <c r="C86" s="62" t="n"/>
      <c r="D86" s="63" t="n"/>
      <c r="E86" s="63" t="n"/>
      <c r="F86" s="63" t="n"/>
      <c r="G86" s="62" t="n"/>
      <c r="H86" s="62" t="n"/>
      <c r="I86" s="63" t="n"/>
      <c r="J86" s="63" t="n"/>
      <c r="K86" s="62" t="n"/>
      <c r="L86" s="63" t="n"/>
    </row>
    <row r="87">
      <c r="A87" s="62" t="n"/>
      <c r="B87" s="62" t="n"/>
      <c r="C87" s="62" t="n"/>
      <c r="D87" s="63" t="n"/>
      <c r="E87" s="63" t="n"/>
      <c r="F87" s="63" t="n"/>
      <c r="G87" s="62" t="n"/>
      <c r="H87" s="62" t="n"/>
      <c r="I87" s="63" t="n"/>
      <c r="J87" s="63" t="n"/>
      <c r="K87" s="62" t="n"/>
      <c r="L87" s="63" t="n"/>
    </row>
    <row r="88">
      <c r="A88" s="62" t="n"/>
      <c r="B88" s="62" t="n"/>
      <c r="C88" s="62" t="n"/>
      <c r="D88" s="63" t="n"/>
      <c r="E88" s="63" t="n"/>
      <c r="F88" s="63" t="n"/>
      <c r="G88" s="62" t="n"/>
      <c r="H88" s="62" t="n"/>
      <c r="I88" s="63" t="n"/>
      <c r="J88" s="63" t="n"/>
      <c r="K88" s="62" t="n"/>
      <c r="L88" s="63" t="n"/>
    </row>
    <row r="89">
      <c r="A89" s="62" t="n"/>
      <c r="B89" s="62" t="n"/>
      <c r="C89" s="62" t="n"/>
      <c r="D89" s="63" t="n"/>
      <c r="E89" s="63" t="n"/>
      <c r="F89" s="63" t="n"/>
      <c r="G89" s="62" t="n"/>
      <c r="H89" s="62" t="n"/>
      <c r="I89" s="63" t="n"/>
      <c r="J89" s="63" t="n"/>
      <c r="K89" s="62" t="n"/>
      <c r="L89" s="63" t="n"/>
    </row>
    <row r="90">
      <c r="A90" s="62" t="n"/>
      <c r="B90" s="62" t="n"/>
      <c r="C90" s="62" t="n"/>
      <c r="D90" s="63" t="n"/>
      <c r="E90" s="63" t="n"/>
      <c r="F90" s="63" t="n"/>
      <c r="G90" s="62" t="n"/>
      <c r="H90" s="62" t="n"/>
      <c r="I90" s="63" t="n"/>
      <c r="J90" s="63" t="n"/>
      <c r="K90" s="62" t="n"/>
      <c r="L90" s="63" t="n"/>
    </row>
    <row r="91">
      <c r="A91" s="62" t="n"/>
      <c r="B91" s="62" t="n"/>
      <c r="C91" s="62" t="n"/>
      <c r="D91" s="63" t="n"/>
      <c r="E91" s="63" t="n"/>
      <c r="F91" s="63" t="n"/>
      <c r="G91" s="62" t="n"/>
      <c r="H91" s="62" t="n"/>
      <c r="I91" s="63" t="n"/>
      <c r="J91" s="63" t="n"/>
      <c r="K91" s="62" t="n"/>
      <c r="L91" s="63" t="n"/>
    </row>
    <row r="92">
      <c r="A92" s="62" t="n"/>
      <c r="B92" s="62" t="n"/>
      <c r="C92" s="62" t="n"/>
      <c r="D92" s="63" t="n"/>
      <c r="E92" s="63" t="n"/>
      <c r="F92" s="63" t="n"/>
      <c r="G92" s="62" t="n"/>
      <c r="H92" s="62" t="n"/>
      <c r="I92" s="63" t="n"/>
      <c r="J92" s="63" t="n"/>
      <c r="K92" s="62" t="n"/>
      <c r="L92" s="63" t="n"/>
    </row>
    <row r="93">
      <c r="A93" s="62" t="n"/>
      <c r="B93" s="62" t="n"/>
      <c r="C93" s="62" t="n"/>
      <c r="D93" s="63" t="n"/>
      <c r="E93" s="63" t="n"/>
      <c r="F93" s="63" t="n"/>
      <c r="G93" s="62" t="n"/>
      <c r="H93" s="62" t="n"/>
      <c r="I93" s="63" t="n"/>
      <c r="J93" s="63" t="n"/>
      <c r="K93" s="62" t="n"/>
      <c r="L93" s="63" t="n"/>
    </row>
    <row r="94">
      <c r="A94" s="62" t="n"/>
      <c r="B94" s="62" t="n"/>
      <c r="C94" s="62" t="n"/>
      <c r="D94" s="63" t="n"/>
      <c r="E94" s="63" t="n"/>
      <c r="F94" s="63" t="n"/>
      <c r="G94" s="62" t="n"/>
      <c r="H94" s="62" t="n"/>
      <c r="I94" s="63" t="n"/>
      <c r="J94" s="63" t="n"/>
      <c r="K94" s="62" t="n"/>
      <c r="L94" s="63" t="n"/>
    </row>
    <row r="95">
      <c r="A95" s="62" t="n"/>
      <c r="B95" s="62" t="n"/>
      <c r="C95" s="62" t="n"/>
      <c r="D95" s="63" t="n"/>
      <c r="E95" s="63" t="n"/>
      <c r="F95" s="63" t="n"/>
      <c r="G95" s="62" t="n"/>
      <c r="H95" s="62" t="n"/>
      <c r="I95" s="63" t="n"/>
      <c r="J95" s="63" t="n"/>
      <c r="K95" s="62" t="n"/>
      <c r="L95" s="63" t="n"/>
    </row>
    <row r="96">
      <c r="A96" s="62" t="n"/>
      <c r="B96" s="62" t="n"/>
      <c r="C96" s="62" t="n"/>
      <c r="D96" s="63" t="n"/>
      <c r="E96" s="63" t="n"/>
      <c r="F96" s="63" t="n"/>
      <c r="G96" s="62" t="n"/>
      <c r="H96" s="62" t="n"/>
      <c r="I96" s="63" t="n"/>
      <c r="J96" s="63" t="n"/>
      <c r="K96" s="62" t="n"/>
      <c r="L96" s="63" t="n"/>
    </row>
    <row r="97">
      <c r="A97" s="62" t="n"/>
      <c r="B97" s="62" t="n"/>
      <c r="C97" s="62" t="n"/>
      <c r="D97" s="63" t="n"/>
      <c r="E97" s="63" t="n"/>
      <c r="F97" s="63" t="n"/>
      <c r="G97" s="62" t="n"/>
      <c r="H97" s="62" t="n"/>
      <c r="I97" s="63" t="n"/>
      <c r="J97" s="63" t="n"/>
      <c r="K97" s="62" t="n"/>
      <c r="L97" s="63" t="n"/>
    </row>
    <row r="98">
      <c r="A98" s="62" t="n"/>
      <c r="B98" s="62" t="n"/>
      <c r="C98" s="62" t="n"/>
      <c r="D98" s="63" t="n"/>
      <c r="E98" s="63" t="n"/>
      <c r="F98" s="63" t="n"/>
      <c r="G98" s="62" t="n"/>
      <c r="H98" s="62" t="n"/>
      <c r="I98" s="63" t="n"/>
      <c r="J98" s="63" t="n"/>
      <c r="K98" s="62" t="n"/>
      <c r="L98" s="63" t="n"/>
    </row>
    <row r="99">
      <c r="A99" s="62" t="n"/>
      <c r="B99" s="62" t="n"/>
      <c r="C99" s="62" t="n"/>
      <c r="D99" s="63" t="n"/>
      <c r="E99" s="63" t="n"/>
      <c r="F99" s="63" t="n"/>
      <c r="G99" s="62" t="n"/>
      <c r="H99" s="62" t="n"/>
      <c r="I99" s="63" t="n"/>
      <c r="J99" s="63" t="n"/>
      <c r="K99" s="62" t="n"/>
      <c r="L99" s="63" t="n"/>
    </row>
    <row r="100">
      <c r="A100" s="62" t="n"/>
      <c r="B100" s="62" t="n"/>
      <c r="C100" s="62" t="n"/>
      <c r="D100" s="63" t="n"/>
      <c r="E100" s="63" t="n"/>
      <c r="F100" s="63" t="n"/>
      <c r="G100" s="62" t="n"/>
      <c r="H100" s="62" t="n"/>
      <c r="I100" s="63" t="n"/>
      <c r="J100" s="63" t="n"/>
      <c r="K100" s="62" t="n"/>
      <c r="L100" s="63" t="n"/>
    </row>
    <row r="101">
      <c r="A101" s="62" t="n"/>
      <c r="B101" s="62" t="n"/>
      <c r="C101" s="62" t="n"/>
      <c r="D101" s="63" t="n"/>
      <c r="E101" s="63" t="n"/>
      <c r="F101" s="63" t="n"/>
      <c r="G101" s="62" t="n"/>
      <c r="H101" s="62" t="n"/>
      <c r="I101" s="63" t="n"/>
      <c r="J101" s="63" t="n"/>
      <c r="K101" s="62" t="n"/>
      <c r="L101" s="63" t="n"/>
    </row>
    <row r="102">
      <c r="A102" s="62" t="n"/>
      <c r="B102" s="62" t="n"/>
      <c r="C102" s="62" t="n"/>
      <c r="D102" s="63" t="n"/>
      <c r="E102" s="63" t="n"/>
      <c r="F102" s="63" t="n"/>
      <c r="G102" s="62" t="n"/>
      <c r="H102" s="62" t="n"/>
      <c r="I102" s="63" t="n"/>
      <c r="J102" s="63" t="n"/>
      <c r="K102" s="62" t="n"/>
      <c r="L102" s="63" t="n"/>
    </row>
    <row r="103">
      <c r="A103" s="62" t="n"/>
      <c r="B103" s="62" t="n"/>
      <c r="C103" s="62" t="n"/>
      <c r="D103" s="63" t="n"/>
      <c r="E103" s="63" t="n"/>
      <c r="F103" s="63" t="n"/>
      <c r="G103" s="62" t="n"/>
      <c r="H103" s="62" t="n"/>
      <c r="I103" s="63" t="n"/>
      <c r="J103" s="63" t="n"/>
      <c r="K103" s="62" t="n"/>
      <c r="L103" s="63" t="n"/>
    </row>
    <row r="104">
      <c r="A104" s="62" t="n"/>
      <c r="B104" s="62" t="n"/>
      <c r="C104" s="62" t="n"/>
      <c r="D104" s="63" t="n"/>
      <c r="E104" s="63" t="n"/>
      <c r="F104" s="63" t="n"/>
      <c r="G104" s="62" t="n"/>
      <c r="H104" s="62" t="n"/>
      <c r="I104" s="63" t="n"/>
      <c r="J104" s="63" t="n"/>
      <c r="K104" s="62" t="n"/>
      <c r="L104" s="63" t="n"/>
    </row>
  </sheetData>
  <autoFilter ref="A4:L104"/>
  <mergeCells count="2">
    <mergeCell ref="A2:L2"/>
    <mergeCell ref="A1:L1"/>
  </mergeCells>
  <conditionalFormatting sqref="G5:G104">
    <cfRule type="cellIs" priority="1" operator="equal" dxfId="5">
      <formula>"Bloquante"</formula>
    </cfRule>
    <cfRule type="cellIs" priority="2" operator="equal" dxfId="2">
      <formula>"Majeure"</formula>
    </cfRule>
    <cfRule type="cellIs" priority="3" operator="equal" dxfId="4">
      <formula>"Mineure"</formula>
    </cfRule>
    <cfRule type="cellIs" priority="4" operator="equal" dxfId="0">
      <formula>"Cosmétique"</formula>
    </cfRule>
  </conditionalFormatting>
  <conditionalFormatting sqref="H5:H104">
    <cfRule type="cellIs" priority="5" operator="equal" dxfId="5">
      <formula>"Ouverte"</formula>
    </cfRule>
    <cfRule type="cellIs" priority="6" operator="equal" dxfId="4">
      <formula>"En correction"</formula>
    </cfRule>
    <cfRule type="cellIs" priority="7" operator="equal" dxfId="3">
      <formula>"Corrigée"</formula>
    </cfRule>
    <cfRule type="cellIs" priority="8" operator="equal" dxfId="2">
      <formula>"À retester"</formula>
    </cfRule>
    <cfRule type="cellIs" priority="9" operator="equal" dxfId="1">
      <formula>"Fermée"</formula>
    </cfRule>
    <cfRule type="cellIs" priority="10" operator="equal" dxfId="0">
      <formula>"Rejetée"</formula>
    </cfRule>
  </conditionalFormatting>
  <dataValidations count="2">
    <dataValidation sqref="G5:G104" showDropDown="0" showInputMessage="0" showErrorMessage="1" allowBlank="1" errorTitle="Gravité" error="Choisir une valeur dans la liste." type="list">
      <formula1>"Bloquante,Majeure,Mineure,Cosmétique"</formula1>
    </dataValidation>
    <dataValidation sqref="H5:H104" showDropDown="0" showInputMessage="0" showErrorMessage="1" allowBlank="1" errorTitle="Statut" error="Choisir une valeur dans la liste." type="list">
      <formula1>"Ouverte,En correction,Corrigée,À retester,Fermée,Rejetée"</formula1>
    </dataValidation>
  </dataValidations>
  <pageMargins left="0.4" right="0.4" top="1" bottom="1" header="0.5" footer="0.5"/>
  <pageSetup orientation="landscape" paperSize="9" fitToHeight="0"/>
  <headerFooter>
    <oddHeader/>
    <oddFooter>&amp;LAgri-Digit Bénin · Cahier de recette&amp;RPage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546E7A"/>
    <outlinePr summaryBelow="1" summaryRight="1"/>
    <pageSetUpPr fitToPage="1"/>
  </sheetPr>
  <dimension ref="A1:E25"/>
  <sheetViews>
    <sheetView showGridLines="0" workbookViewId="0">
      <selection activeCell="A1" sqref="A1:E1"/>
    </sheetView>
  </sheetViews>
  <sheetFormatPr baseColWidth="10" defaultColWidth="8.88671875" defaultRowHeight="14.4"/>
  <cols>
    <col width="32" customWidth="1" style="73" min="1" max="1"/>
    <col width="14" customWidth="1" style="73" min="2" max="2"/>
    <col width="18" customWidth="1" style="73" min="3" max="3"/>
    <col width="44" customWidth="1" style="73" min="4" max="4"/>
    <col width="36" customWidth="1" style="73" min="5" max="5"/>
  </cols>
  <sheetData>
    <row r="1" ht="34.05" customHeight="1" s="73">
      <c r="A1" s="89" t="inlineStr">
        <is>
          <t>Comptes de démonstration</t>
        </is>
      </c>
    </row>
    <row r="2">
      <c r="A2" s="72" t="inlineStr">
        <is>
          <t>Source : docs/DEMO.md. Comptes fictifs, sans lien avec des personnes réelles.</t>
        </is>
      </c>
    </row>
    <row r="3" ht="6" customHeight="1" s="73"/>
    <row r="4" ht="25.95" customHeight="1" s="73">
      <c r="A4" s="2" t="inlineStr">
        <is>
          <t>Rôle</t>
        </is>
      </c>
      <c r="B4" s="2" t="inlineStr">
        <is>
          <t>Téléphone</t>
        </is>
      </c>
      <c r="C4" s="2" t="inlineStr">
        <is>
          <t>Mot de passe</t>
        </is>
      </c>
      <c r="D4" s="2" t="inlineStr">
        <is>
          <t>Connexion</t>
        </is>
      </c>
      <c r="E4" s="2" t="inlineStr">
        <is>
          <t>Périmètre</t>
        </is>
      </c>
    </row>
    <row r="5" ht="33.6" customHeight="1" s="73">
      <c r="A5" s="64" t="inlineStr">
        <is>
          <t>Producteur (Bio GOUNOU)</t>
        </is>
      </c>
      <c r="B5" s="65" t="inlineStr">
        <is>
          <t>0197000001</t>
        </is>
      </c>
      <c r="C5" s="66" t="inlineStr">
        <is>
          <t>code seul</t>
        </is>
      </c>
      <c r="D5" s="93" t="inlineStr">
        <is>
          <t>Code à 6 chiffres lu dans le bandeau « Simulation »</t>
        </is>
      </c>
      <c r="E5" s="93" t="inlineStr">
        <is>
          <t>Banikoara, Alibori</t>
        </is>
      </c>
    </row>
    <row r="6" ht="20.85" customHeight="1" s="73">
      <c r="A6" s="67" t="inlineStr">
        <is>
          <t>Agent ATDA</t>
        </is>
      </c>
      <c r="B6" s="68" t="inlineStr">
        <is>
          <t>0197000002</t>
        </is>
      </c>
      <c r="C6" s="69" t="inlineStr">
        <is>
          <t>AgriDemo-2026!</t>
        </is>
      </c>
      <c r="D6" s="70" t="inlineStr">
        <is>
          <t>Code + mot de passe</t>
        </is>
      </c>
      <c r="E6" s="70" t="inlineStr">
        <is>
          <t>Alibori</t>
        </is>
      </c>
    </row>
    <row r="7" ht="20.85" customHeight="1" s="73">
      <c r="A7" s="64" t="inlineStr">
        <is>
          <t>Agronome INRAB</t>
        </is>
      </c>
      <c r="B7" s="65" t="inlineStr">
        <is>
          <t>0197000003</t>
        </is>
      </c>
      <c r="C7" s="66" t="inlineStr">
        <is>
          <t>AgriDemo-2026!</t>
        </is>
      </c>
      <c r="D7" s="93" t="inlineStr">
        <is>
          <t>Code + mot de passe</t>
        </is>
      </c>
      <c r="E7" s="93" t="inlineStr">
        <is>
          <t>National</t>
        </is>
      </c>
    </row>
    <row r="8" ht="20.85" customHeight="1" s="73">
      <c r="A8" s="67" t="inlineStr">
        <is>
          <t>Responsable de programme</t>
        </is>
      </c>
      <c r="B8" s="68" t="inlineStr">
        <is>
          <t>0197000004</t>
        </is>
      </c>
      <c r="C8" s="69" t="inlineStr">
        <is>
          <t>AgriDemo-2026!</t>
        </is>
      </c>
      <c r="D8" s="70" t="inlineStr">
        <is>
          <t>Code + mot de passe</t>
        </is>
      </c>
      <c r="E8" s="70" t="inlineStr">
        <is>
          <t>National</t>
        </is>
      </c>
    </row>
    <row r="9" ht="20.85" customHeight="1" s="73">
      <c r="A9" s="64" t="inlineStr">
        <is>
          <t>Administrateur MAEP</t>
        </is>
      </c>
      <c r="B9" s="65" t="inlineStr">
        <is>
          <t>0197000005</t>
        </is>
      </c>
      <c r="C9" s="66" t="inlineStr">
        <is>
          <t>AgriDemo-2026!</t>
        </is>
      </c>
      <c r="D9" s="93" t="inlineStr">
        <is>
          <t>Code + mot de passe</t>
        </is>
      </c>
      <c r="E9" s="93" t="inlineStr">
        <is>
          <t>National</t>
        </is>
      </c>
    </row>
    <row r="10" ht="20.85" customHeight="1" s="73">
      <c r="A10" s="67" t="inlineStr">
        <is>
          <t>Auditeur CoPil</t>
        </is>
      </c>
      <c r="B10" s="68" t="inlineStr">
        <is>
          <t>0197000006</t>
        </is>
      </c>
      <c r="C10" s="69" t="inlineStr">
        <is>
          <t>AgriDemo-2026!</t>
        </is>
      </c>
      <c r="D10" s="70" t="inlineStr">
        <is>
          <t>Code + mot de passe</t>
        </is>
      </c>
      <c r="E10" s="70" t="inlineStr">
        <is>
          <t>National</t>
        </is>
      </c>
    </row>
    <row r="11" ht="20.85" customHeight="1" s="73">
      <c r="A11" s="64" t="inlineStr">
        <is>
          <t>Agent financier</t>
        </is>
      </c>
      <c r="B11" s="65" t="inlineStr">
        <is>
          <t>0197000007</t>
        </is>
      </c>
      <c r="C11" s="66" t="inlineStr">
        <is>
          <t>AgriDemo-2026!</t>
        </is>
      </c>
      <c r="D11" s="93" t="inlineStr">
        <is>
          <t>Code + mot de passe</t>
        </is>
      </c>
      <c r="E11" s="93" t="inlineStr">
        <is>
          <t>National</t>
        </is>
      </c>
    </row>
    <row r="12" ht="33.6" customHeight="1" s="73">
      <c r="A12" s="67" t="inlineStr">
        <is>
          <t>Gestionnaire de coopérative</t>
        </is>
      </c>
      <c r="B12" s="68" t="inlineStr">
        <is>
          <t>0197000008</t>
        </is>
      </c>
      <c r="C12" s="69" t="inlineStr">
        <is>
          <t>AgriDemo-2026!</t>
        </is>
      </c>
      <c r="D12" s="70" t="inlineStr">
        <is>
          <t>Code + mot de passe</t>
        </is>
      </c>
      <c r="E12" s="70" t="inlineStr">
        <is>
          <t>Coopérative des producteurs de maïs de Banikoara</t>
        </is>
      </c>
    </row>
    <row r="13" ht="20.85" customHeight="1" s="73">
      <c r="A13" s="64" t="inlineStr">
        <is>
          <t>Transformateur</t>
        </is>
      </c>
      <c r="B13" s="65" t="inlineStr">
        <is>
          <t>0197000009</t>
        </is>
      </c>
      <c r="C13" s="66" t="inlineStr">
        <is>
          <t>AgriDemo-2026!</t>
        </is>
      </c>
      <c r="D13" s="93" t="inlineStr">
        <is>
          <t>Code + mot de passe</t>
        </is>
      </c>
      <c r="E13" s="93" t="inlineStr">
        <is>
          <t>Parakou, Borgou</t>
        </is>
      </c>
    </row>
    <row r="14" ht="20.85" customHeight="1" s="73">
      <c r="A14" s="67" t="inlineStr">
        <is>
          <t>Distributeur</t>
        </is>
      </c>
      <c r="B14" s="68" t="inlineStr">
        <is>
          <t>0197000010</t>
        </is>
      </c>
      <c r="C14" s="69" t="inlineStr">
        <is>
          <t>AgriDemo-2026!</t>
        </is>
      </c>
      <c r="D14" s="70" t="inlineStr">
        <is>
          <t>Code + mot de passe</t>
        </is>
      </c>
      <c r="E14" s="70" t="inlineStr">
        <is>
          <t>Cotonou, Littoral</t>
        </is>
      </c>
    </row>
    <row r="15" ht="20.85" customHeight="1" s="73">
      <c r="A15" s="64" t="inlineStr">
        <is>
          <t>Représentant MTDI</t>
        </is>
      </c>
      <c r="B15" s="65" t="inlineStr">
        <is>
          <t>0197000011</t>
        </is>
      </c>
      <c r="C15" s="66" t="inlineStr">
        <is>
          <t>AgriDemo-2026!</t>
        </is>
      </c>
      <c r="D15" s="93" t="inlineStr">
        <is>
          <t>Code + mot de passe</t>
        </is>
      </c>
      <c r="E15" s="93" t="inlineStr">
        <is>
          <t>National</t>
        </is>
      </c>
    </row>
    <row r="16" ht="33.6" customHeight="1" s="73">
      <c r="A16" s="67" t="inlineStr">
        <is>
          <t>Représentant MTDI n° 2 (second locuteur)</t>
        </is>
      </c>
      <c r="B16" s="68" t="inlineStr">
        <is>
          <t>0197000012</t>
        </is>
      </c>
      <c r="C16" s="69" t="inlineStr">
        <is>
          <t>AgriDemo-2026!</t>
        </is>
      </c>
      <c r="D16" s="70" t="inlineStr">
        <is>
          <t>Code + mot de passe</t>
        </is>
      </c>
      <c r="E16" s="70" t="inlineStr">
        <is>
          <t>National</t>
        </is>
      </c>
    </row>
    <row r="18" ht="22.05" customHeight="1" s="73">
      <c r="A18" s="78" t="inlineStr">
        <is>
          <t>Données utiles pour les cas de test</t>
        </is>
      </c>
      <c r="B18" s="94" t="n"/>
      <c r="C18" s="94" t="n"/>
      <c r="D18" s="94" t="n"/>
      <c r="E18" s="94" t="n"/>
    </row>
    <row r="19" ht="20.85" customHeight="1" s="73">
      <c r="A19" s="71" t="inlineStr">
        <is>
          <t>Application</t>
        </is>
      </c>
      <c r="B19" s="93" t="inlineStr">
        <is>
          <t>http://localhost:5173 (page de connexion : /connexion)</t>
        </is>
      </c>
      <c r="C19" s="95" t="n"/>
      <c r="D19" s="95" t="n"/>
      <c r="E19" s="96" t="n"/>
    </row>
    <row r="20" ht="20.85" customHeight="1" s="73">
      <c r="A20" s="71" t="inlineStr">
        <is>
          <t>API</t>
        </is>
      </c>
      <c r="B20" s="93" t="inlineStr">
        <is>
          <t>http://127.0.0.1:8000</t>
        </is>
      </c>
      <c r="C20" s="95" t="n"/>
      <c r="D20" s="95" t="n"/>
      <c r="E20" s="96" t="n"/>
    </row>
    <row r="21" ht="20.85" customHeight="1" s="73">
      <c r="A21" s="71" t="inlineStr">
        <is>
          <t>Lancement</t>
        </is>
      </c>
      <c r="B21" s="93" t="inlineStr">
        <is>
          <t>start.bat (Windows) ou ./start.sh ; « start.bat reset » remet les données de démonstration à zéro</t>
        </is>
      </c>
      <c r="C21" s="95" t="n"/>
      <c r="D21" s="95" t="n"/>
      <c r="E21" s="96" t="n"/>
    </row>
    <row r="22" ht="20.85" customHeight="1" s="73">
      <c r="A22" s="71" t="inlineStr">
        <is>
          <t>NPI d'inscription</t>
        </is>
      </c>
      <c r="B22" s="93" t="inlineStr">
        <is>
          <t>1000000002 : Awa SABI, née le 1990-07-01 · 1000000004 : demande de consentement parental</t>
        </is>
      </c>
      <c r="C22" s="95" t="n"/>
      <c r="D22" s="95" t="n"/>
      <c r="E22" s="96" t="n"/>
    </row>
    <row r="23" ht="20.85" customHeight="1" s="73">
      <c r="A23" s="71" t="inlineStr">
        <is>
          <t>Téléphone libre</t>
        </is>
      </c>
      <c r="B23" s="93" t="inlineStr">
        <is>
          <t>0197000099 (pour l'inscription d'un nouveau producteur)</t>
        </is>
      </c>
      <c r="C23" s="95" t="n"/>
      <c r="D23" s="95" t="n"/>
      <c r="E23" s="96" t="n"/>
    </row>
    <row r="24" ht="20.85" customHeight="1" s="73">
      <c r="A24" s="71" t="inlineStr">
        <is>
          <t>Paiement simulé</t>
        </is>
      </c>
      <c r="B24" s="93" t="inlineStr">
        <is>
          <t>Plafond 500 000 XOF · un numéro de payeur finissant par 0 échoue volontairement</t>
        </is>
      </c>
      <c r="C24" s="95" t="n"/>
      <c r="D24" s="95" t="n"/>
      <c r="E24" s="96" t="n"/>
    </row>
    <row r="25" ht="20.85" customHeight="1" s="73">
      <c r="A25" s="71" t="inlineStr">
        <is>
          <t>Code de connexion</t>
        </is>
      </c>
      <c r="B25" s="93" t="inlineStr">
        <is>
          <t>Affiché dans le bandeau « Simulation » de la page de connexion (jamais envoyé par SMS réel)</t>
        </is>
      </c>
      <c r="C25" s="95" t="n"/>
      <c r="D25" s="95" t="n"/>
      <c r="E25" s="96" t="n"/>
    </row>
  </sheetData>
  <mergeCells count="10">
    <mergeCell ref="B23:E23"/>
    <mergeCell ref="A2:E2"/>
    <mergeCell ref="B21:E21"/>
    <mergeCell ref="A1:E1"/>
    <mergeCell ref="B25:E25"/>
    <mergeCell ref="B24:E24"/>
    <mergeCell ref="B19:E19"/>
    <mergeCell ref="B20:E20"/>
    <mergeCell ref="A18:E18"/>
    <mergeCell ref="B22:E22"/>
  </mergeCells>
  <pageMargins left="0.4" right="0.4" top="1" bottom="1" header="0.5" footer="0.5"/>
  <pageSetup orientation="landscape" paperSize="9" fitToHeight="0"/>
  <headerFooter>
    <oddHeader/>
    <oddFooter>&amp;LAgri-Digit Bénin · Cahier de recette&amp;RPage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2026-10-28T13:52:09Z</dcterms:created>
  <dcterms:modified xsi:type="dcterms:W3CDTF">2026-10-28T16:14:20Z</dcterms:modified>
  <cp:lastModifiedBy>Chris Nahum</cp:lastModifiedBy>
</cp:coreProperties>
</file>